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tg.anjos/Library/CloudStorage/GoogleDrive-tiago15anjos@gmail.com/Meu Drive/DOUTORADO UFSCar/Doutorado Sanduíche no Exterior - PDSE/University of Toronto/Chamadas Públicas ICJ-CNPq/"/>
    </mc:Choice>
  </mc:AlternateContent>
  <xr:revisionPtr revIDLastSave="0" documentId="13_ncr:1_{A9567CE5-9E8B-7F4C-B2C4-147C368A4EAA}" xr6:coauthVersionLast="47" xr6:coauthVersionMax="47" xr10:uidLastSave="{00000000-0000-0000-0000-000000000000}"/>
  <bookViews>
    <workbookView xWindow="29400" yWindow="-1360" windowWidth="27320" windowHeight="20480" xr2:uid="{00000000-000D-0000-FFFF-FFFF00000000}"/>
  </bookViews>
  <sheets>
    <sheet name="base_limpa" sheetId="1" r:id="rId1"/>
    <sheet name="dicionario_de_variaveis" sheetId="4" r:id="rId2"/>
  </sheets>
  <definedNames>
    <definedName name="_xlnm._FilterDatabase" localSheetId="0" hidden="1">base_limpa!$A$1:$AL$542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05" i="1" l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N2" i="1"/>
  <c r="AM2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3" i="1"/>
  <c r="T4" i="1"/>
  <c r="T5" i="1"/>
  <c r="T6" i="1"/>
  <c r="T7" i="1"/>
  <c r="T8" i="1"/>
  <c r="T2" i="1"/>
</calcChain>
</file>

<file path=xl/sharedStrings.xml><?xml version="1.0" encoding="utf-8"?>
<sst xmlns="http://schemas.openxmlformats.org/spreadsheetml/2006/main" count="10476" uniqueCount="1829">
  <si>
    <t>oa_author_id</t>
  </si>
  <si>
    <t>grande_area</t>
  </si>
  <si>
    <t>grande_area_freq</t>
  </si>
  <si>
    <t>grande_area_score_sum</t>
  </si>
  <si>
    <t>area</t>
  </si>
  <si>
    <t>area_freq</t>
  </si>
  <si>
    <t>area_score_sum</t>
  </si>
  <si>
    <t>h_index</t>
  </si>
  <si>
    <t>i10_index</t>
  </si>
  <si>
    <t>works_count</t>
  </si>
  <si>
    <t>cited_by_count</t>
  </si>
  <si>
    <t>igc_faixa</t>
  </si>
  <si>
    <t>class_instituicao</t>
  </si>
  <si>
    <t>inst_categoria</t>
  </si>
  <si>
    <t>categoria_administrativa</t>
  </si>
  <si>
    <t>ano_chamada</t>
  </si>
  <si>
    <t>periodo_vigencia</t>
  </si>
  <si>
    <t>id_pesq</t>
  </si>
  <si>
    <t>id_inst</t>
  </si>
  <si>
    <t>regiao_corrigida</t>
  </si>
  <si>
    <t>tipo_ies</t>
  </si>
  <si>
    <t>grupo_if_ceft</t>
  </si>
  <si>
    <t>igc_categoria</t>
  </si>
  <si>
    <t>num_chamadas_participou</t>
  </si>
  <si>
    <t>nivel_producao</t>
  </si>
  <si>
    <t>area_macro</t>
  </si>
  <si>
    <t>area_sub</t>
  </si>
  <si>
    <t>ch_2014</t>
  </si>
  <si>
    <t>ch_2016</t>
  </si>
  <si>
    <t>ch_2018</t>
  </si>
  <si>
    <t>ch_2020</t>
  </si>
  <si>
    <t>ch_2022</t>
  </si>
  <si>
    <t>ch_2024</t>
  </si>
  <si>
    <t>pesquisador_padronizado</t>
  </si>
  <si>
    <t>inst_padronizada</t>
  </si>
  <si>
    <t>João Paulo Sinnecker</t>
  </si>
  <si>
    <t>https://openalex.org/A5041162909</t>
  </si>
  <si>
    <t>Physics</t>
  </si>
  <si>
    <t>Condensed matter physics</t>
  </si>
  <si>
    <t>CENTRO BRASILEIRO DE PESQUISAS FISICAS</t>
  </si>
  <si>
    <t>INSTITUTO DE PESQUISA</t>
  </si>
  <si>
    <t>PUBLICA</t>
  </si>
  <si>
    <t>NAO SE APLICA</t>
  </si>
  <si>
    <t>Sudeste</t>
  </si>
  <si>
    <t>RJ</t>
  </si>
  <si>
    <t>2014 (PIBIC-EM 2014-2016); 2016 (CNPq 07/2016); 2018 (CNPq 05/2018); 2020 (CNPq 13/2020)</t>
  </si>
  <si>
    <t>2014-2016; 2016-2018; 2018-2020; 2020-2021</t>
  </si>
  <si>
    <t>outras</t>
  </si>
  <si>
    <t>Sem IGC</t>
  </si>
  <si>
    <t>Muito Alta</t>
  </si>
  <si>
    <t>Exatas</t>
  </si>
  <si>
    <t>condensed matter physics</t>
  </si>
  <si>
    <t>Andre Massafferri Rodrigues</t>
  </si>
  <si>
    <t>https://openalex.org/A5034635771</t>
  </si>
  <si>
    <t>Particle physics</t>
  </si>
  <si>
    <t>2022 (CNPq 35/2022); 2024 (CNPq 07/2024)</t>
  </si>
  <si>
    <t>2022-2024; 2024-2027</t>
  </si>
  <si>
    <t>particle physics</t>
  </si>
  <si>
    <t>Maria de Lourdes Aguiar Oliveira</t>
  </si>
  <si>
    <t>https://openalex.org/A5057102618</t>
  </si>
  <si>
    <t>Medicine</t>
  </si>
  <si>
    <t>Virology</t>
  </si>
  <si>
    <t>CENTRO DE PESQUISA GONCALO MONIZ - FIOCRUZ</t>
  </si>
  <si>
    <t>Nordeste</t>
  </si>
  <si>
    <t>BA</t>
  </si>
  <si>
    <t>2024 (CNPq 07/2024)</t>
  </si>
  <si>
    <t>2024-2027</t>
  </si>
  <si>
    <t>Alta</t>
  </si>
  <si>
    <t>Multidisciplinar</t>
  </si>
  <si>
    <t>virology</t>
  </si>
  <si>
    <t>Rodrigo Guerino Stabeli</t>
  </si>
  <si>
    <t>https://openalex.org/A5054916263</t>
  </si>
  <si>
    <t>Biology</t>
  </si>
  <si>
    <t>Biochemistry</t>
  </si>
  <si>
    <t>2014 (PIBIC-EM 2014-2016); 2016 (CNPq 07/2016)</t>
  </si>
  <si>
    <t>2014-2016; 2016-2018</t>
  </si>
  <si>
    <t>biochemistry</t>
  </si>
  <si>
    <t>Talita Mazon</t>
  </si>
  <si>
    <t>https://openalex.org/A5070791259</t>
  </si>
  <si>
    <t>Materials science</t>
  </si>
  <si>
    <t>Nanotechnology</t>
  </si>
  <si>
    <t>SP</t>
  </si>
  <si>
    <t>2014 (PIBIC-EM 2014-2016)</t>
  </si>
  <si>
    <t>2014-2016</t>
  </si>
  <si>
    <t>nanotechnology</t>
  </si>
  <si>
    <t>CENTRO DE TECNOLOGIA DA INFORMACAO RENATO ARCHER</t>
  </si>
  <si>
    <t>Ricardo Rodrigues de Araujo</t>
  </si>
  <si>
    <t>https://openalex.org/A5112290554</t>
  </si>
  <si>
    <t>Humanities</t>
  </si>
  <si>
    <t>CENTRO FEDERAL DE EDUCACAO TECNOLOGICA CELSO SUCKOW DA FONSECA</t>
  </si>
  <si>
    <t>4</t>
  </si>
  <si>
    <t>CEFET</t>
  </si>
  <si>
    <t>PUBLICA FEDERAL</t>
  </si>
  <si>
    <t>2020 (CNPq 13/2020)</t>
  </si>
  <si>
    <t>2020-2021</t>
  </si>
  <si>
    <t>publica_federal</t>
  </si>
  <si>
    <t>IGC Alto</t>
  </si>
  <si>
    <t>Baixa</t>
  </si>
  <si>
    <t>Humanas</t>
  </si>
  <si>
    <t>humanities</t>
  </si>
  <si>
    <t>Ronney Arismel Mancebo Boloy</t>
  </si>
  <si>
    <t>https://openalex.org/A5035401336</t>
  </si>
  <si>
    <t>Engineering</t>
  </si>
  <si>
    <t>Waste management</t>
  </si>
  <si>
    <t>Sociais Aplicadas</t>
  </si>
  <si>
    <t>waste management</t>
  </si>
  <si>
    <t>Pedro Manuel Calas Lopes Pacheco</t>
  </si>
  <si>
    <t>https://openalex.org/A5054179309</t>
  </si>
  <si>
    <t>Composite material</t>
  </si>
  <si>
    <t>2014 (PIBIC-EM 2014-2016); 2016 (CNPq 07/2016); 2018 (CNPq 05/2018)</t>
  </si>
  <si>
    <t>2014-2016; 2016-2018; 2018-2020</t>
  </si>
  <si>
    <t>composite material</t>
  </si>
  <si>
    <t>André Luiz Mota</t>
  </si>
  <si>
    <t>https://openalex.org/A5064394798</t>
  </si>
  <si>
    <t>Chemistry</t>
  </si>
  <si>
    <t>Organic chemistry</t>
  </si>
  <si>
    <t>CENTRO FEDERAL DE EDUCACAO TECNOLOGICA DE MINAS GERAIS</t>
  </si>
  <si>
    <t>5</t>
  </si>
  <si>
    <t>MG</t>
  </si>
  <si>
    <t>Média</t>
  </si>
  <si>
    <t>organic chemistry</t>
  </si>
  <si>
    <t>Carlos Magno Martins Cosme</t>
  </si>
  <si>
    <t>https://openalex.org/A5042557329</t>
  </si>
  <si>
    <t>Computer science</t>
  </si>
  <si>
    <t>Algorithm</t>
  </si>
  <si>
    <t>2022 (CNPq 35/2022)</t>
  </si>
  <si>
    <t>2022-2024</t>
  </si>
  <si>
    <t>algorithm</t>
  </si>
  <si>
    <t>Danielle Marra de Freitas Silva</t>
  </si>
  <si>
    <t>https://openalex.org/A5011945418</t>
  </si>
  <si>
    <t>High-performance liquid chromatography</t>
  </si>
  <si>
    <t>2016 (CNPq 07/2016); 2018 (CNPq 05/2018); 2020 (CNPq 13/2020)</t>
  </si>
  <si>
    <t>2016-2018; 2018-2020; 2020-2021</t>
  </si>
  <si>
    <t>high-performance liquid chromatography</t>
  </si>
  <si>
    <t>Denis Emanuel da Costa Vargas</t>
  </si>
  <si>
    <t>https://openalex.org/A5061828645</t>
  </si>
  <si>
    <t>MA</t>
  </si>
  <si>
    <t>Muito Baixa</t>
  </si>
  <si>
    <t>Fernando Wagner da Silva Ramos</t>
  </si>
  <si>
    <t>https://openalex.org/A5101889333</t>
  </si>
  <si>
    <t>Internal medicine</t>
  </si>
  <si>
    <t>3</t>
  </si>
  <si>
    <t>IES</t>
  </si>
  <si>
    <t>PRIVADA</t>
  </si>
  <si>
    <t>PRIVADA SEM FINS LUCRATIVOS</t>
  </si>
  <si>
    <t>AL</t>
  </si>
  <si>
    <t>2018 (CNPq 05/2018); 2020 (CNPq 13/2020); 2022 (CNPq 35/2022); 2024 (CNPq 07/2024)</t>
  </si>
  <si>
    <t>2018-2020; 2020-2021; 2022-2024; 2024-2027</t>
  </si>
  <si>
    <t>privada_sem_fins</t>
  </si>
  <si>
    <t>IGC Médio</t>
  </si>
  <si>
    <t>Saúde</t>
  </si>
  <si>
    <t>internal medicine</t>
  </si>
  <si>
    <t>CENTRO UNIVERSITARIO CESMAC</t>
  </si>
  <si>
    <t>Marcelo Antonio Pavanello</t>
  </si>
  <si>
    <t>https://openalex.org/A5087138940</t>
  </si>
  <si>
    <t>Optoelectronics</t>
  </si>
  <si>
    <t>2016 (CNPq 07/2016); 2018 (CNPq 05/2018)</t>
  </si>
  <si>
    <t>2016-2018; 2018-2020</t>
  </si>
  <si>
    <t>optoelectronics</t>
  </si>
  <si>
    <t>CENTRO UNIVERSITARIO DA FUNDACAO EDUCACIONAL INACIANA PE SABOIA DE MEDEIROS - FEI</t>
  </si>
  <si>
    <t>Laura Ferreira de Rezende Franco</t>
  </si>
  <si>
    <t>https://openalex.org/A5068699491</t>
  </si>
  <si>
    <t>publica_municipal</t>
  </si>
  <si>
    <t>CENTRO UNIVERSITARIO DAS FACULDADES ASSOCIADAS DE ENSINO - FAE</t>
  </si>
  <si>
    <t>Marcia Zilioli Bellini</t>
  </si>
  <si>
    <t>https://openalex.org/A5012931770</t>
  </si>
  <si>
    <t>CENTRO UNIVERSITARIO DE ADAMANTINA</t>
  </si>
  <si>
    <t>ESPECIAL</t>
  </si>
  <si>
    <t>Delcio Cardim</t>
  </si>
  <si>
    <t>https://openalex.org/A5048071679</t>
  </si>
  <si>
    <t>José Aparecido dos Santos</t>
  </si>
  <si>
    <t>https://openalex.org/A5013295251</t>
  </si>
  <si>
    <t>Molecular biology</t>
  </si>
  <si>
    <t>Biológicas</t>
  </si>
  <si>
    <t>molecular biology</t>
  </si>
  <si>
    <t>Fernanda Costa Vinhaes de Lima</t>
  </si>
  <si>
    <t>https://openalex.org/A5071390565</t>
  </si>
  <si>
    <t>CENTRO UNIVERSITARIO DE BRASILIA</t>
  </si>
  <si>
    <t>Robinson Moresca de Andrade</t>
  </si>
  <si>
    <t>https://openalex.org/A5044878813</t>
  </si>
  <si>
    <t>CENTRO UNIVERSITARIO DE EXCELENCIA</t>
  </si>
  <si>
    <t>Bruno Chaboli Gambarato</t>
  </si>
  <si>
    <t>https://openalex.org/A5065798093</t>
  </si>
  <si>
    <t>CENTRO UNIVERSITARIO DE VOLTA REDONDA</t>
  </si>
  <si>
    <t>Denise Celeste Godoy de Andrade Rodrigues</t>
  </si>
  <si>
    <t>https://openalex.org/A5103255498</t>
  </si>
  <si>
    <t>Philosophy</t>
  </si>
  <si>
    <t>Bernardo Petriz de Assis</t>
  </si>
  <si>
    <t>https://openalex.org/A5045513664</t>
  </si>
  <si>
    <t>Treadmill</t>
  </si>
  <si>
    <t>PRIVADA COM FINS LUCRATIVOS</t>
  </si>
  <si>
    <t>Centro-Oeste</t>
  </si>
  <si>
    <t>DF</t>
  </si>
  <si>
    <t>2018 (CNPq 05/2018); 2020 (CNPq 13/2020)</t>
  </si>
  <si>
    <t>2018-2020; 2020-2021</t>
  </si>
  <si>
    <t>privada_com_fins</t>
  </si>
  <si>
    <t>treadmill</t>
  </si>
  <si>
    <t>CENTRO UNIVERSITARIO DO DISTRITO FEDERAL</t>
  </si>
  <si>
    <t>Joner Oliveira Alves</t>
  </si>
  <si>
    <t>https://openalex.org/A5039913789</t>
  </si>
  <si>
    <t>CENTRO UNIVERSITARIO DO ESPIRITO SANTO</t>
  </si>
  <si>
    <t>ES</t>
  </si>
  <si>
    <t>2018 (CNPq 05/2018)</t>
  </si>
  <si>
    <t>2018-2020</t>
  </si>
  <si>
    <t>Maria da Graça de Oliveira Carlos</t>
  </si>
  <si>
    <t>https://openalex.org/A5079064300</t>
  </si>
  <si>
    <t>CE</t>
  </si>
  <si>
    <t>CENTRO UNIVERSITARIO ESTACIO DO CEARA</t>
  </si>
  <si>
    <t>Raquel Cristina Ferraroni Sanches</t>
  </si>
  <si>
    <t>https://openalex.org/A5047234383</t>
  </si>
  <si>
    <t>CENTRO UNIVERSITARIO EURIPEDES DE MARILIA</t>
  </si>
  <si>
    <t>Edinilson Donisete Machado</t>
  </si>
  <si>
    <t>https://openalex.org/A5066099921</t>
  </si>
  <si>
    <t>2020 (CNPq 13/2020); 2022 (CNPq 35/2022)</t>
  </si>
  <si>
    <t>2020-2021; 2022-2024</t>
  </si>
  <si>
    <t>João Maurício Gama Boaventura</t>
  </si>
  <si>
    <t>https://openalex.org/A5025857714</t>
  </si>
  <si>
    <t>Business</t>
  </si>
  <si>
    <t>Marketing</t>
  </si>
  <si>
    <t>PUBLICA ESTADUAL</t>
  </si>
  <si>
    <t>publica_estadual</t>
  </si>
  <si>
    <t>marketing</t>
  </si>
  <si>
    <t>CENTRO UNIVERSITARIO ALVARES PENTEADO</t>
  </si>
  <si>
    <t>Francielle Baptista de Souza</t>
  </si>
  <si>
    <t>Sul</t>
  </si>
  <si>
    <t>PR</t>
  </si>
  <si>
    <t>Sem dados</t>
  </si>
  <si>
    <t>Não classificado</t>
  </si>
  <si>
    <t>CENTRO UNIVERSITARIO INTEGRADO DE CAMPO MOURAO</t>
  </si>
  <si>
    <t>Francielle Baptista</t>
  </si>
  <si>
    <t>https://openalex.org/A5038817529</t>
  </si>
  <si>
    <t>Political science</t>
  </si>
  <si>
    <t>Caroline Dani</t>
  </si>
  <si>
    <t>https://openalex.org/A5036206396</t>
  </si>
  <si>
    <t>RS</t>
  </si>
  <si>
    <t>CENTRO UNIVERSITARIO METODISTA</t>
  </si>
  <si>
    <t>Sheila Fernandes Pimenta e Oliveira</t>
  </si>
  <si>
    <t>https://openalex.org/A5078321305</t>
  </si>
  <si>
    <t>CENTRO UNIVERSITARIO MUNICIPAL DE FRANCA</t>
  </si>
  <si>
    <t>Sandra de Oliveira Saes</t>
  </si>
  <si>
    <t>https://openalex.org/A5042034455</t>
  </si>
  <si>
    <t>Audiology</t>
  </si>
  <si>
    <t>audiology</t>
  </si>
  <si>
    <t>CENTRO UNIVERSITARIO SAGRADO CORACAO</t>
  </si>
  <si>
    <t>Eveline Ignacio da Silva Marques</t>
  </si>
  <si>
    <t>https://openalex.org/A5084109754</t>
  </si>
  <si>
    <t>Eduardo Mazzaferro Ehlers</t>
  </si>
  <si>
    <t>https://openalex.org/A5017257183</t>
  </si>
  <si>
    <t>Geography</t>
  </si>
  <si>
    <t>Archaeology</t>
  </si>
  <si>
    <t>archaeology</t>
  </si>
  <si>
    <t>CENTRO UNIVERSITARIO SENAC</t>
  </si>
  <si>
    <t>Rosinei Batista Ribeiro</t>
  </si>
  <si>
    <t>https://openalex.org/A5108003570</t>
  </si>
  <si>
    <t>CENTRO UNIVERSITARIO TERESA D AVILA</t>
  </si>
  <si>
    <t>2014 (PIBIC-EM 2014-2016); 2016 (CNPq 07/2016); 2018 (CNPq 05/2018); 2020 (CNPq 13/2020); 2022 (CNPq 35/2022)</t>
  </si>
  <si>
    <t>2014-2016; 2016-2018; 2018-2020; 2020-2021; 2022-2024</t>
  </si>
  <si>
    <t>Nelson Tavares Matias</t>
  </si>
  <si>
    <t>https://openalex.org/A5070836426</t>
  </si>
  <si>
    <t>Ana Paula Ribeiro Rodrigues</t>
  </si>
  <si>
    <t>https://openalex.org/A5100656883</t>
  </si>
  <si>
    <t>Endocrinology</t>
  </si>
  <si>
    <t>EMPRESA BRASILEIRA DE PESQUISA AGROPECUARIA</t>
  </si>
  <si>
    <t>endocrinology</t>
  </si>
  <si>
    <t>Alaan Ubaiara Brito</t>
  </si>
  <si>
    <t>https://openalex.org/A5050136011</t>
  </si>
  <si>
    <t>Atson Carlos de Souza Fernandes</t>
  </si>
  <si>
    <t>https://openalex.org/A5012233001</t>
  </si>
  <si>
    <t>Anatomy</t>
  </si>
  <si>
    <t>2020 (CNPq 13/2020); 2022 (CNPq 35/2022); 2024 (CNPq 07/2024)</t>
  </si>
  <si>
    <t>2020-2021; 2022-2024; 2024-2027</t>
  </si>
  <si>
    <t>anatomy</t>
  </si>
  <si>
    <t>ESCOLA BAHIANA DE MEDICINA E SAUDE PUBLICA</t>
  </si>
  <si>
    <t>Italla Maria Pinheiro Bezerra</t>
  </si>
  <si>
    <t>https://openalex.org/A5070085361</t>
  </si>
  <si>
    <t>ESCOLA SUPERIOR DE CIENCIAS DA SANTA CASA DE MISERICORDIA DE VITORIA</t>
  </si>
  <si>
    <t>Agnaldo Bruno Chies</t>
  </si>
  <si>
    <t>https://openalex.org/A5041814805</t>
  </si>
  <si>
    <t>FACULDADE DE MEDICINA DE MARILIA</t>
  </si>
  <si>
    <t>Spencer Luiz Marques Payao</t>
  </si>
  <si>
    <t>https://openalex.org/A5006660349</t>
  </si>
  <si>
    <t>Genetics</t>
  </si>
  <si>
    <t>genetics</t>
  </si>
  <si>
    <t>Osni Lázaro Pinheiro</t>
  </si>
  <si>
    <t>https://openalex.org/A5074186092</t>
  </si>
  <si>
    <t>Psychology</t>
  </si>
  <si>
    <t>Eduardo Acedo Barbosa</t>
  </si>
  <si>
    <t>https://openalex.org/A5003442959</t>
  </si>
  <si>
    <t>Optics</t>
  </si>
  <si>
    <t>2016 (CNPq 07/2016); 2018 (CNPq 05/2018); 2020 (CNPq 13/2020); 2022 (CNPq 35/2022); 2024 (CNPq 07/2024)</t>
  </si>
  <si>
    <t>2016-2018; 2018-2020; 2020-2021; 2022-2024; 2024-2027</t>
  </si>
  <si>
    <t>optics</t>
  </si>
  <si>
    <t>FACULDADE DE TECNOLOGIA DE SAO PAULO</t>
  </si>
  <si>
    <t>Jadson Belem de Moura</t>
  </si>
  <si>
    <t>https://openalex.org/A5041994193</t>
  </si>
  <si>
    <t>Agronomy</t>
  </si>
  <si>
    <t>FACULDADE EVANGELICA DE GOIANESIA</t>
  </si>
  <si>
    <t>GO</t>
  </si>
  <si>
    <t>agronomy</t>
  </si>
  <si>
    <t>Jurandir Marcondes Ribas Filho</t>
  </si>
  <si>
    <t>https://openalex.org/A5026432993</t>
  </si>
  <si>
    <t>Surgery</t>
  </si>
  <si>
    <t>FACULDADE EVANGELICA MACKENZIE DO PARANA</t>
  </si>
  <si>
    <t>surgery</t>
  </si>
  <si>
    <t>Ricardo Belchior Torres</t>
  </si>
  <si>
    <t>https://openalex.org/A5060933226</t>
  </si>
  <si>
    <t>Thermodynamics</t>
  </si>
  <si>
    <t>thermodynamics</t>
  </si>
  <si>
    <t>FUNDACAO EDUCACIONAL INACIANA PADRE SABOIA DE MEDEIROS</t>
  </si>
  <si>
    <t>Sílvia Ligório Fialho</t>
  </si>
  <si>
    <t>https://openalex.org/A5060599674</t>
  </si>
  <si>
    <t>Pharmacology</t>
  </si>
  <si>
    <t>FUNDACAO EZEQUIEL DIAS</t>
  </si>
  <si>
    <t>pharmacology</t>
  </si>
  <si>
    <t>Wilson Fusco</t>
  </si>
  <si>
    <t>https://openalex.org/A5047853849</t>
  </si>
  <si>
    <t>FUNDACAO JOAQUIM NABUCO</t>
  </si>
  <si>
    <t>PE</t>
  </si>
  <si>
    <t>Darcilene Cláudio Gomes</t>
  </si>
  <si>
    <t>https://openalex.org/A5015711150</t>
  </si>
  <si>
    <t>2016 (CNPq 07/2016)</t>
  </si>
  <si>
    <t>2016-2018</t>
  </si>
  <si>
    <t>Cesar de Mendonça Pereira</t>
  </si>
  <si>
    <t>https://openalex.org/A5049851152</t>
  </si>
  <si>
    <t>Rodrigo Correa de Oliveira</t>
  </si>
  <si>
    <t>https://openalex.org/A5054904088</t>
  </si>
  <si>
    <t>Immunology</t>
  </si>
  <si>
    <t>2018 (CNPq 05/2018); 2020 (CNPq 13/2020); 2022 (CNPq 35/2022)</t>
  </si>
  <si>
    <t>2018-2020; 2020-2021; 2022-2024</t>
  </si>
  <si>
    <t>immunology</t>
  </si>
  <si>
    <t>FUNDACAO OSWALDO CRUZ</t>
  </si>
  <si>
    <t>Adriana Aparecida Paz</t>
  </si>
  <si>
    <t>https://openalex.org/A5020472850</t>
  </si>
  <si>
    <t>FUNDACAO UNIVERSIDADE FEDERAL DE CIENCIAS DA SAUDE DE PORTO ALEGRE</t>
  </si>
  <si>
    <t>Lucindo Jose Quintans Junior</t>
  </si>
  <si>
    <t>https://openalex.org/A5072217846</t>
  </si>
  <si>
    <t>UNIVERSIDADE FEDERAL DE SERGIPE</t>
  </si>
  <si>
    <t>SE</t>
  </si>
  <si>
    <t>Felipe Denardin Costa</t>
  </si>
  <si>
    <t>https://openalex.org/A5050293424</t>
  </si>
  <si>
    <t>Meteorology</t>
  </si>
  <si>
    <t>UNIVERSIDADE FEDERAL DO PAMPA</t>
  </si>
  <si>
    <t>meteorology</t>
  </si>
  <si>
    <t>Oklinger Mantovaneli Junior</t>
  </si>
  <si>
    <t>https://openalex.org/A5085195794</t>
  </si>
  <si>
    <t>UNIVERSIDADE REGIONAL DE BLUMENAU</t>
  </si>
  <si>
    <t>SC</t>
  </si>
  <si>
    <t>Roxane Maria Fontes Piazza</t>
  </si>
  <si>
    <t>https://openalex.org/A5064317271</t>
  </si>
  <si>
    <t>Microbiology</t>
  </si>
  <si>
    <t>INSTITUTO BUTANTAN</t>
  </si>
  <si>
    <t>microbiology</t>
  </si>
  <si>
    <t>Tadeu Uggere de Andrade</t>
  </si>
  <si>
    <t>https://openalex.org/A5067981557</t>
  </si>
  <si>
    <t>INSTITUTO CAPIXABA DE ENSINO PESQUISA E INOVACAO EM SAUDE</t>
  </si>
  <si>
    <t>Emiliano Esterci Ramalho</t>
  </si>
  <si>
    <t>https://openalex.org/A5082088319</t>
  </si>
  <si>
    <t>Ecology</t>
  </si>
  <si>
    <t>INSTITUTO DE DESENVOLVIMENTO SUSTENTAVEL MAMIRAUA</t>
  </si>
  <si>
    <t>ORGANIZACAO SOCIAL</t>
  </si>
  <si>
    <t>Norte</t>
  </si>
  <si>
    <t>AM</t>
  </si>
  <si>
    <t>ecology</t>
  </si>
  <si>
    <t>Renato Crespo Pereira</t>
  </si>
  <si>
    <t>https://openalex.org/A5003225095</t>
  </si>
  <si>
    <t>INSTITUTO DE PESQUISA JARDIM BOTANICO DO RIO DE JANEIRO</t>
  </si>
  <si>
    <t>Gustavo Martinelli</t>
  </si>
  <si>
    <t>https://openalex.org/A5065617909</t>
  </si>
  <si>
    <t>Rogério Gribel</t>
  </si>
  <si>
    <t>https://openalex.org/A5033160736</t>
  </si>
  <si>
    <t>Silvia Ribeiro de Souza</t>
  </si>
  <si>
    <t>https://openalex.org/A5083133723</t>
  </si>
  <si>
    <t>Botany</t>
  </si>
  <si>
    <t>botany</t>
  </si>
  <si>
    <t>INSTITUTO DE PESQUISAS AMBIENTAIS</t>
  </si>
  <si>
    <t>Aline Louise de Oliveira</t>
  </si>
  <si>
    <t>https://openalex.org/A5016460647</t>
  </si>
  <si>
    <t>Descriptive statistics</t>
  </si>
  <si>
    <t>INSTITUTO FEDERAL DE EDUCACAO CIENCIA E TECNOLOGIA CATARINENSE</t>
  </si>
  <si>
    <t>INSTITUTO FEDERAL</t>
  </si>
  <si>
    <t>descriptive statistics</t>
  </si>
  <si>
    <t>Cladecir Alberto Schenkel</t>
  </si>
  <si>
    <t>https://openalex.org/A5079992581</t>
  </si>
  <si>
    <t>Romano Roberto Valicheski</t>
  </si>
  <si>
    <t>https://openalex.org/A5079957778</t>
  </si>
  <si>
    <t>Horticulture</t>
  </si>
  <si>
    <t>horticulture</t>
  </si>
  <si>
    <t>Andre Rosa Martins</t>
  </si>
  <si>
    <t>https://openalex.org/A5069135406</t>
  </si>
  <si>
    <t>Lactose</t>
  </si>
  <si>
    <t>INSTITUTO FEDERAL DE EDUCACAO CIENCIA E TECNOLOGIA DA BAHIA</t>
  </si>
  <si>
    <t>lactose</t>
  </si>
  <si>
    <t>Luciana Helena Cajas Mazzutti</t>
  </si>
  <si>
    <t>https://openalex.org/A5075637485</t>
  </si>
  <si>
    <t>Art</t>
  </si>
  <si>
    <t>Maria Iraildes de Almeida Silva Matias</t>
  </si>
  <si>
    <t>https://openalex.org/A5014349213</t>
  </si>
  <si>
    <t>Joice Neves Reis Pedreira</t>
  </si>
  <si>
    <t>https://openalex.org/A5062177984</t>
  </si>
  <si>
    <t>2016 (CNPq 07/2016); 2018 (CNPq 05/2018); 2020 (CNPq 13/2020); 2022 (CNPq 35/2022)</t>
  </si>
  <si>
    <t>2016-2018; 2018-2020; 2020-2021; 2022-2024</t>
  </si>
  <si>
    <t>Plínio Martins Falcão</t>
  </si>
  <si>
    <t>https://openalex.org/A5049411698</t>
  </si>
  <si>
    <t>Rafael Oliva Trocoli</t>
  </si>
  <si>
    <t>https://openalex.org/A5039622350</t>
  </si>
  <si>
    <t>Carlindo Santos Rodrigues</t>
  </si>
  <si>
    <t>https://openalex.org/A5060334397</t>
  </si>
  <si>
    <t>Animal science</t>
  </si>
  <si>
    <t>animal science</t>
  </si>
  <si>
    <t>Francisco Dantas Nobre Neto</t>
  </si>
  <si>
    <t>https://openalex.org/A5108617267</t>
  </si>
  <si>
    <t>INSTITUTO FEDERAL DE EDUCACAO CIENCIA E TECNOLOGIA DA PARAIBA</t>
  </si>
  <si>
    <t>PB</t>
  </si>
  <si>
    <t>Girlene Marques Formiga</t>
  </si>
  <si>
    <t>https://openalex.org/A5041053867</t>
  </si>
  <si>
    <t>Aleksandro Guedes de Lima</t>
  </si>
  <si>
    <t>Eugenio Bastos da Costa</t>
  </si>
  <si>
    <t>https://openalex.org/A5004501820</t>
  </si>
  <si>
    <t>INSTITUTO FEDERAL DE EDUCACAO CIENCIA E TECNOLOGIA DE ALAGOAS</t>
  </si>
  <si>
    <t>Marley Garcia Silva</t>
  </si>
  <si>
    <t>https://openalex.org/A5021564260</t>
  </si>
  <si>
    <t>INSTITUTO FEDERAL DE EDUCACAO CIENCIA E TECNOLOGIA DE BRASILIA</t>
  </si>
  <si>
    <t>Debora Leite Silvano</t>
  </si>
  <si>
    <t>https://openalex.org/A5043586294</t>
  </si>
  <si>
    <t>Business administration</t>
  </si>
  <si>
    <t>business administration</t>
  </si>
  <si>
    <t>Lorenna Silva Oliveira Costa</t>
  </si>
  <si>
    <t>https://openalex.org/A5089627674</t>
  </si>
  <si>
    <t>INSTITUTO FEDERAL DE EDUCACAO CIENCIA E TECNOLOGIA DE GOIAS</t>
  </si>
  <si>
    <t>Ruberley Rodrigues de Souza</t>
  </si>
  <si>
    <t>https://openalex.org/A5102892992</t>
  </si>
  <si>
    <t>Paulo Francinete Silva Júnior</t>
  </si>
  <si>
    <t>https://openalex.org/A5044763452</t>
  </si>
  <si>
    <t>Écio Naves Duarte</t>
  </si>
  <si>
    <t>https://openalex.org/A5059387032</t>
  </si>
  <si>
    <t>Alan Carlos da Costa</t>
  </si>
  <si>
    <t>https://openalex.org/A5104223247</t>
  </si>
  <si>
    <t>Fabiano Guimarães Silva</t>
  </si>
  <si>
    <t>https://openalex.org/A5047614255</t>
  </si>
  <si>
    <t>Osvaldo Borges Pinto Junior</t>
  </si>
  <si>
    <t>https://openalex.org/A5037091849</t>
  </si>
  <si>
    <t>Environmental science</t>
  </si>
  <si>
    <t>INSTITUTO FEDERAL DE EDUCACAO CIENCIA E TECNOLOGIA DE MATO GROSSO</t>
  </si>
  <si>
    <t>MT</t>
  </si>
  <si>
    <t>Wander Miguel de Barros</t>
  </si>
  <si>
    <t>https://openalex.org/A5083124884</t>
  </si>
  <si>
    <t>Food science</t>
  </si>
  <si>
    <t>food science</t>
  </si>
  <si>
    <t>Erineudo de Lima Canuto</t>
  </si>
  <si>
    <t>https://openalex.org/A5032455295</t>
  </si>
  <si>
    <t>Marcelo Estevam</t>
  </si>
  <si>
    <t>https://openalex.org/A5090983432</t>
  </si>
  <si>
    <t>Ademir Jose Conte</t>
  </si>
  <si>
    <t>https://openalex.org/A5056354572</t>
  </si>
  <si>
    <t>Felipe Fernandes de Oliveira</t>
  </si>
  <si>
    <t>https://openalex.org/A5058718147</t>
  </si>
  <si>
    <t>INSTITUTO FEDERAL DE EDUCACAO CIENCIA E TECNOLOGIA DE MATO GROSSO DO SUL</t>
  </si>
  <si>
    <t>MS</t>
  </si>
  <si>
    <t>Marco Hiroshi Naka</t>
  </si>
  <si>
    <t>https://openalex.org/A5013970591</t>
  </si>
  <si>
    <t>Lubrication</t>
  </si>
  <si>
    <t>lubrication</t>
  </si>
  <si>
    <t>Danilo Ribeiro de Sá Teles</t>
  </si>
  <si>
    <t>https://openalex.org/A5036317610</t>
  </si>
  <si>
    <t>Luiz Simão Staszczak</t>
  </si>
  <si>
    <t>https://openalex.org/A5083962496</t>
  </si>
  <si>
    <t>Roselene Ferreira Oliveira</t>
  </si>
  <si>
    <t>https://openalex.org/A5039007449</t>
  </si>
  <si>
    <t>Tatiane Alfonso de Araujo</t>
  </si>
  <si>
    <t>https://openalex.org/A5111947784</t>
  </si>
  <si>
    <t>Chromatography</t>
  </si>
  <si>
    <t>chromatography</t>
  </si>
  <si>
    <t>Gislayne Elisana Goncalves</t>
  </si>
  <si>
    <t>https://openalex.org/A5031452541</t>
  </si>
  <si>
    <t>Chemical engineering</t>
  </si>
  <si>
    <t>INSTITUTO FEDERAL DE EDUCACAO CIENCIA E TECNOLOGIA DE MINAS GERAIS</t>
  </si>
  <si>
    <t>Engenharias</t>
  </si>
  <si>
    <t>chemical engineering</t>
  </si>
  <si>
    <t>Fernando Gomes Braga</t>
  </si>
  <si>
    <t>https://openalex.org/A5004955470</t>
  </si>
  <si>
    <t>Neimar de Freitas Duarte</t>
  </si>
  <si>
    <t>https://openalex.org/A5014311875</t>
  </si>
  <si>
    <t>Lydia Armond Muzzi</t>
  </si>
  <si>
    <t>https://openalex.org/A5034254236</t>
  </si>
  <si>
    <t>Marcos Barros Luiz</t>
  </si>
  <si>
    <t>https://openalex.org/A5048839336</t>
  </si>
  <si>
    <t>Venom</t>
  </si>
  <si>
    <t>INSTITUTO FEDERAL DE EDUCACAO CIENCIA E TECNOLOGIA DE RONDONIA</t>
  </si>
  <si>
    <t>RO</t>
  </si>
  <si>
    <t>venom</t>
  </si>
  <si>
    <t>Giselle Cavalcante Saldanha</t>
  </si>
  <si>
    <t>https://openalex.org/A5013624267</t>
  </si>
  <si>
    <t>Amazon rainforest</t>
  </si>
  <si>
    <t>amazon rainforest</t>
  </si>
  <si>
    <t>Clovis Antonio Petry</t>
  </si>
  <si>
    <t>https://openalex.org/A5049473323</t>
  </si>
  <si>
    <t>Electrical engineering</t>
  </si>
  <si>
    <t>INSTITUTO FEDERAL DE EDUCACAO CIENCIA E TECNOLOGIA DE SANTA CATARINA</t>
  </si>
  <si>
    <t>electrical engineering</t>
  </si>
  <si>
    <t>Jaciara Zarpellon Mazo</t>
  </si>
  <si>
    <t>https://openalex.org/A5085524484</t>
  </si>
  <si>
    <t>Bacteria</t>
  </si>
  <si>
    <t>bacteria</t>
  </si>
  <si>
    <t>Valdir Noll</t>
  </si>
  <si>
    <t>https://openalex.org/A5009419358</t>
  </si>
  <si>
    <t>Thiago Pedro Donadon Homem</t>
  </si>
  <si>
    <t>https://openalex.org/A5075067827</t>
  </si>
  <si>
    <t>Artificial intelligence</t>
  </si>
  <si>
    <t>INSTITUTO FEDERAL DE EDUCACAO CIENCIA E TECNOLOGIA DE SAO PAULO</t>
  </si>
  <si>
    <t>artificial intelligence</t>
  </si>
  <si>
    <t>Karina Maretti Strangueto</t>
  </si>
  <si>
    <t>https://openalex.org/A5071011665</t>
  </si>
  <si>
    <t>Paulo Marcos de Aguiar</t>
  </si>
  <si>
    <t>https://openalex.org/A5087495953</t>
  </si>
  <si>
    <t>Priscila Braga Caliope</t>
  </si>
  <si>
    <t>https://openalex.org/A5020877758</t>
  </si>
  <si>
    <t>Jaime José da Silveira Barros de Medeiros</t>
  </si>
  <si>
    <t>https://openalex.org/A5058692284</t>
  </si>
  <si>
    <t>Dignity</t>
  </si>
  <si>
    <t>INSTITUTO FEDERAL DE EDUCACAO CIENCIA E TECNOLOGIA DE SERGIPE</t>
  </si>
  <si>
    <t>dignity</t>
  </si>
  <si>
    <t>Sérgio Carlos Resende</t>
  </si>
  <si>
    <t>https://openalex.org/A5000950728</t>
  </si>
  <si>
    <t>Lício Valério Lima Vieira</t>
  </si>
  <si>
    <t>https://openalex.org/A5056448630</t>
  </si>
  <si>
    <t>Mario Andre de Freitas Farias</t>
  </si>
  <si>
    <t>https://openalex.org/A5083702968</t>
  </si>
  <si>
    <t>Software</t>
  </si>
  <si>
    <t>software</t>
  </si>
  <si>
    <t>Herika Fernanda Montilha Satrapa</t>
  </si>
  <si>
    <t>https://openalex.org/A5052561983</t>
  </si>
  <si>
    <t>INSTITUTO FEDERAL DE EDUCACAO CIENCIA E TECNOLOGIA DO ACRE</t>
  </si>
  <si>
    <t>AC</t>
  </si>
  <si>
    <t>Jefferson Viana Alves Diniz</t>
  </si>
  <si>
    <t>https://openalex.org/A5054470338</t>
  </si>
  <si>
    <t>Luís Pedro de Melo Plese</t>
  </si>
  <si>
    <t>https://openalex.org/A5072709794</t>
  </si>
  <si>
    <t>Romaro Antonio Silva</t>
  </si>
  <si>
    <t>https://openalex.org/A5057071544</t>
  </si>
  <si>
    <t>INSTITUTO FEDERAL DE EDUCACAO CIENCIA E TECNOLOGIA DO AMAPA</t>
  </si>
  <si>
    <t>AP</t>
  </si>
  <si>
    <t>Themístocles Raphael Gomes Sobrinho</t>
  </si>
  <si>
    <t>https://openalex.org/A5075740494</t>
  </si>
  <si>
    <t>Auzuir Ripardo de Alexandria</t>
  </si>
  <si>
    <t>https://openalex.org/A5034433607</t>
  </si>
  <si>
    <t>INSTITUTO FEDERAL DE EDUCACAO CIENCIA E TECNOLOGIA DO CEARA</t>
  </si>
  <si>
    <t>Joelia Marques de Carvalho</t>
  </si>
  <si>
    <t>https://openalex.org/A5008143773</t>
  </si>
  <si>
    <t>Jose Wally Mendonça Menezes</t>
  </si>
  <si>
    <t>https://openalex.org/A5001716829</t>
  </si>
  <si>
    <t>Andre Romero da Silva</t>
  </si>
  <si>
    <t>https://openalex.org/A5101977926</t>
  </si>
  <si>
    <t>INSTITUTO FEDERAL DE EDUCACAO CIENCIA E TECNOLOGIA DO ESPIRITO SANTO</t>
  </si>
  <si>
    <t>André Gustavo de Sousa Galdino</t>
  </si>
  <si>
    <t>https://openalex.org/A5022718071</t>
  </si>
  <si>
    <t>Robson Celestino Meireles</t>
  </si>
  <si>
    <t>https://openalex.org/A5081025653</t>
  </si>
  <si>
    <t>Rogerio de Mesquita Teles</t>
  </si>
  <si>
    <t>https://openalex.org/A5014204534</t>
  </si>
  <si>
    <t>INSTITUTO FEDERAL DE EDUCACAO CIENCIA E TECNOLOGIA DO MARANHAO</t>
  </si>
  <si>
    <t>Natilene Mesquita Brito</t>
  </si>
  <si>
    <t>https://openalex.org/A5067700853</t>
  </si>
  <si>
    <t>Edinei Canuto Paiva</t>
  </si>
  <si>
    <t>https://openalex.org/A5085660517</t>
  </si>
  <si>
    <t>INSTITUTO FEDERAL DE EDUCACAO CIENCIA E TECNOLOGIA DO NORTE DE MINAS GERAIS</t>
  </si>
  <si>
    <t>Rogério Mendes Murta</t>
  </si>
  <si>
    <t>https://openalex.org/A5060382639</t>
  </si>
  <si>
    <t>Jaime Henrique Barbosa da Costa</t>
  </si>
  <si>
    <t>https://openalex.org/A5035639644</t>
  </si>
  <si>
    <t>INSTITUTO FEDERAL DE EDUCACAO CIENCIA E TECNOLOGIA DO PARA</t>
  </si>
  <si>
    <t>PA</t>
  </si>
  <si>
    <t>Saulo Rafael Silva e Silva</t>
  </si>
  <si>
    <t>https://openalex.org/A5072157566</t>
  </si>
  <si>
    <t>Ezequiel Burkarter</t>
  </si>
  <si>
    <t>https://openalex.org/A5067419803</t>
  </si>
  <si>
    <t>Quantum mechanics</t>
  </si>
  <si>
    <t>INSTITUTO FEDERAL DE EDUCACAO CIENCIA E TECNOLOGIA DO PARANA</t>
  </si>
  <si>
    <t>quantum mechanics</t>
  </si>
  <si>
    <t>Mauro Antonio da Silva Sa Ravagnani</t>
  </si>
  <si>
    <t>https://openalex.org/A5041191201</t>
  </si>
  <si>
    <t>Mechanical engineering</t>
  </si>
  <si>
    <t>2014 (PIBIC-EM 2014-2016); 2024 (CNPq 07/2024)</t>
  </si>
  <si>
    <t>2014-2016; 2024-2027</t>
  </si>
  <si>
    <t>mechanical engineering</t>
  </si>
  <si>
    <t>Elenice Monte Alvarenga</t>
  </si>
  <si>
    <t>https://openalex.org/A5016503562</t>
  </si>
  <si>
    <t>INSTITUTO FEDERAL DE EDUCACAO CIENCIA E TECNOLOGIA DO PIAUI</t>
  </si>
  <si>
    <t>PI</t>
  </si>
  <si>
    <t>José Luís de Oliveira e Silva</t>
  </si>
  <si>
    <t>https://openalex.org/A5003990231</t>
  </si>
  <si>
    <t>Marcus Vinicius da Silva Pereira</t>
  </si>
  <si>
    <t>https://openalex.org/A5089144468</t>
  </si>
  <si>
    <t>INSTITUTO FEDERAL DE EDUCACAO CIENCIA E TECNOLOGIA DO RIO DE JANEIRO</t>
  </si>
  <si>
    <t>Mira Wengert</t>
  </si>
  <si>
    <t>https://openalex.org/A5023872294</t>
  </si>
  <si>
    <t>Luziane Beyruth Schwartz</t>
  </si>
  <si>
    <t>https://openalex.org/A5113877500</t>
  </si>
  <si>
    <t>Marcela Brandão Cunha</t>
  </si>
  <si>
    <t>https://openalex.org/A5089862687</t>
  </si>
  <si>
    <t>Avelino Aldo de Lima Neto</t>
  </si>
  <si>
    <t>https://openalex.org/A5040041616</t>
  </si>
  <si>
    <t>INSTITUTO FEDERAL DE EDUCACAO CIENCIA E TECNOLOGIA DO RIO GRANDE DO NORTE</t>
  </si>
  <si>
    <t>RN</t>
  </si>
  <si>
    <t>Rômulo Magno Oliveira de Freitas</t>
  </si>
  <si>
    <t>https://openalex.org/A5075725169</t>
  </si>
  <si>
    <t>André Luis Calado Araújo</t>
  </si>
  <si>
    <t>https://openalex.org/A5050139808</t>
  </si>
  <si>
    <t>Márcio Adriano de Azevedo</t>
  </si>
  <si>
    <t>https://openalex.org/A5102959439</t>
  </si>
  <si>
    <t>Júlio Xandro Heck</t>
  </si>
  <si>
    <t>https://openalex.org/A5081193432</t>
  </si>
  <si>
    <t>Enzyme</t>
  </si>
  <si>
    <t>INSTITUTO FEDERAL DE EDUCACAO CIENCIA E TECNOLOGIA DO RIO GRANDE DO SUL</t>
  </si>
  <si>
    <t>enzyme</t>
  </si>
  <si>
    <t>Eduardo Girotto</t>
  </si>
  <si>
    <t>https://openalex.org/A5057837299</t>
  </si>
  <si>
    <t>Flavia Santos Twardowski Pinto</t>
  </si>
  <si>
    <t>https://openalex.org/A5102889194</t>
  </si>
  <si>
    <t>Paulo Sergio Dalmas</t>
  </si>
  <si>
    <t>https://openalex.org/A5079986594</t>
  </si>
  <si>
    <t>INSTITUTO FEDERAL DE EDUCACAO CIENCIA E TECNOLOGIA DO SERTAO PERNAMBUCANO</t>
  </si>
  <si>
    <t>Ana Paula Muniz Guttierres</t>
  </si>
  <si>
    <t>https://openalex.org/A5041977287</t>
  </si>
  <si>
    <t>Physical therapy</t>
  </si>
  <si>
    <t>INSTITUTO FEDERAL DE EDUCACAO CIENCIA E TECNOLOGIA DO SUDESTE DE MINAS GERAIS</t>
  </si>
  <si>
    <t>physical therapy</t>
  </si>
  <si>
    <t>Fabianne Magalhães Girardin Pimentel Furtado</t>
  </si>
  <si>
    <t>https://openalex.org/A5039070564</t>
  </si>
  <si>
    <t>Frederico Souzalima Caldoncelli Franco</t>
  </si>
  <si>
    <t>https://openalex.org/A5061855371</t>
  </si>
  <si>
    <t>José Luiz de Andrade Rezende Pereira</t>
  </si>
  <si>
    <t>https://openalex.org/A5112519964</t>
  </si>
  <si>
    <t>INSTITUTO FEDERAL DE EDUCACAO CIENCIA E TECNOLOGIA DO SUL DE MINAS GERAIS</t>
  </si>
  <si>
    <t>Sindynara Ferreira</t>
  </si>
  <si>
    <t>https://openalex.org/A5047936433</t>
  </si>
  <si>
    <t>Carlos Henrique Rodrigues Reinato</t>
  </si>
  <si>
    <t>https://openalex.org/A5052505803</t>
  </si>
  <si>
    <t>Clarice Dias de Albuquerque</t>
  </si>
  <si>
    <t>https://openalex.org/A5022699544</t>
  </si>
  <si>
    <t>Marcelo Bregagnoli</t>
  </si>
  <si>
    <t>https://openalex.org/A5027576832</t>
  </si>
  <si>
    <t>Marilice Chapper</t>
  </si>
  <si>
    <t>https://openalex.org/A5085541029</t>
  </si>
  <si>
    <t>INSTITUTO FEDERAL DE EDUCACAO CIENCIA E TECNOLOGIA DO SUL-RIO-GRANDESE</t>
  </si>
  <si>
    <t>Mario Leonardo Boessio</t>
  </si>
  <si>
    <t>https://openalex.org/A5064537883</t>
  </si>
  <si>
    <t>Reliability engineering</t>
  </si>
  <si>
    <t>reliability engineering</t>
  </si>
  <si>
    <t>Leysson Muriel Tavares Guimarães Barros</t>
  </si>
  <si>
    <t>INSTITUTO FEDERAL DE EDUCACAO CIENCIA E TECNOLOGIA DO TOCANTINS</t>
  </si>
  <si>
    <t>TO</t>
  </si>
  <si>
    <t>Augusto Cesar dos Santos</t>
  </si>
  <si>
    <t>https://openalex.org/A5101138450</t>
  </si>
  <si>
    <t>Control reconfiguration</t>
  </si>
  <si>
    <t>control reconfiguration</t>
  </si>
  <si>
    <t>Cristiane Miranda Martins</t>
  </si>
  <si>
    <t>https://openalex.org/A5101134475</t>
  </si>
  <si>
    <t>Gleisy Nascimento de Alencar</t>
  </si>
  <si>
    <t>Carlos Antonio Alvarenga Gonçalves</t>
  </si>
  <si>
    <t>https://openalex.org/A5003027734</t>
  </si>
  <si>
    <t>INSTITUTO FEDERAL DE EDUCACAO CIENCIA E TECNOLOGIA DO TRIANGULO MINEIRO</t>
  </si>
  <si>
    <t>Ernani Viriato de Melo</t>
  </si>
  <si>
    <t>https://openalex.org/A5006597291</t>
  </si>
  <si>
    <t>Márcio José de Santana</t>
  </si>
  <si>
    <t>https://openalex.org/A5014722611</t>
  </si>
  <si>
    <t>Diego Zeni</t>
  </si>
  <si>
    <t>https://openalex.org/A5078740351</t>
  </si>
  <si>
    <t>INSTITUTO FEDERAL DE EDUCACAO CIENCIA E TECNOLOGIA FARROUPILHA</t>
  </si>
  <si>
    <t>Helena Sebastiany Coelho</t>
  </si>
  <si>
    <t>https://openalex.org/A5041802946</t>
  </si>
  <si>
    <t>Kelvis Longhi</t>
  </si>
  <si>
    <t>https://openalex.org/A5002489996</t>
  </si>
  <si>
    <t>Pedro de Azevedo Castelo Branco</t>
  </si>
  <si>
    <t>https://openalex.org/A5083158245</t>
  </si>
  <si>
    <t>Medicinal chemistry</t>
  </si>
  <si>
    <t>INSTITUTO FEDERAL DE EDUCACAO CIENCIA E TECNOLOGIA FLUMINENSE</t>
  </si>
  <si>
    <t>medicinal chemistry</t>
  </si>
  <si>
    <t>José Augusto Ferreira da Silva</t>
  </si>
  <si>
    <t>https://openalex.org/A5022115528</t>
  </si>
  <si>
    <t>Marcos Antonio Cruz Moreira</t>
  </si>
  <si>
    <t>https://openalex.org/A5024712160</t>
  </si>
  <si>
    <t>Paulo Henrique Rocha Aride</t>
  </si>
  <si>
    <t>https://openalex.org/A5089869364</t>
  </si>
  <si>
    <t>Fishery</t>
  </si>
  <si>
    <t>INSTITUTO FEDERAL DE EDUCACAO E CIENCIA E TECNOLOGIA DO AMAZONAS</t>
  </si>
  <si>
    <t>2016 (CNPq 07/2016); 2024 (CNPq 07/2024)</t>
  </si>
  <si>
    <t>2016-2018; 2024-2027</t>
  </si>
  <si>
    <t>fishery</t>
  </si>
  <si>
    <t>Ana Mena Barreto Bastos</t>
  </si>
  <si>
    <t>https://openalex.org/A5054009458</t>
  </si>
  <si>
    <t>Semicarbazone</t>
  </si>
  <si>
    <t>semicarbazone</t>
  </si>
  <si>
    <t>José Pinheiro de Queiroz Neto</t>
  </si>
  <si>
    <t>https://openalex.org/A5057869825</t>
  </si>
  <si>
    <t>Jucimar Brito de Souza</t>
  </si>
  <si>
    <t>https://openalex.org/A5112760952</t>
  </si>
  <si>
    <t>Sociology</t>
  </si>
  <si>
    <t>Pronunciation</t>
  </si>
  <si>
    <t>pronunciation</t>
  </si>
  <si>
    <t>Daniela Fessel Bertani</t>
  </si>
  <si>
    <t>https://openalex.org/A5090815008</t>
  </si>
  <si>
    <t>Forestry</t>
  </si>
  <si>
    <t>forestry</t>
  </si>
  <si>
    <t>INSTITUTO FLORESTAL DO ESTADO DE SAO PAULO</t>
  </si>
  <si>
    <t>Claudia Luciana Varnier</t>
  </si>
  <si>
    <t>https://openalex.org/A5023249340</t>
  </si>
  <si>
    <t>Geology</t>
  </si>
  <si>
    <t>INSTITUTO GEOLOGICO DO ESTADO DE SAO PAULO</t>
  </si>
  <si>
    <t>Alethéa Ernandes Martins Sallun</t>
  </si>
  <si>
    <t>https://openalex.org/A5002112875</t>
  </si>
  <si>
    <t>Paleontology</t>
  </si>
  <si>
    <t>paleontology</t>
  </si>
  <si>
    <t>Annabel Pérez Aguilar</t>
  </si>
  <si>
    <t>https://openalex.org/A5080330401</t>
  </si>
  <si>
    <t>Geochemistry</t>
  </si>
  <si>
    <t>geochemistry</t>
  </si>
  <si>
    <t>Cleber André Cechinel</t>
  </si>
  <si>
    <t>https://openalex.org/A5088940580</t>
  </si>
  <si>
    <t>INSTITUTO MANTENEDOR DE ENSINO SUPERIOR DA BAHIA</t>
  </si>
  <si>
    <t>Edio Pereira Lima Junior</t>
  </si>
  <si>
    <t>https://openalex.org/A5047646492</t>
  </si>
  <si>
    <t>INSTITUTO MILITAR DE ENGENHARIA</t>
  </si>
  <si>
    <t>Marcos José Ferreira Carvalho</t>
  </si>
  <si>
    <t>https://openalex.org/A5000702296</t>
  </si>
  <si>
    <t>Roundness (object)</t>
  </si>
  <si>
    <t>roundness (object)</t>
  </si>
  <si>
    <t>Luiz Augusto Cavalcante Moniz de Aragão Filho</t>
  </si>
  <si>
    <t>https://openalex.org/A5055233000</t>
  </si>
  <si>
    <t>Alex Sandro Romeo de Souza Poletto</t>
  </si>
  <si>
    <t>https://openalex.org/A5002479400</t>
  </si>
  <si>
    <t>INSTITUTO MUNICIPAL DE ENSINO SUPERIOR DE ASSIS</t>
  </si>
  <si>
    <t>Charles Bezerra do Prado</t>
  </si>
  <si>
    <t>https://openalex.org/A5103163883</t>
  </si>
  <si>
    <t>INSTITUTO NACIONAL DE METROLOGIA NORMALIZACAO E QUALIDADE INDUSTRIAL</t>
  </si>
  <si>
    <t>Rodrigo Pereira Barretto da Costa Félix</t>
  </si>
  <si>
    <t>https://openalex.org/A5001814459</t>
  </si>
  <si>
    <t>Acoustics</t>
  </si>
  <si>
    <t>acoustics</t>
  </si>
  <si>
    <t>INSTITUTO NACIONAL DE METROLOGIA, QUALIDADE E TECNOLOGIA</t>
  </si>
  <si>
    <t>Jamal da Silva Chaar</t>
  </si>
  <si>
    <t>https://openalex.org/A5044614194</t>
  </si>
  <si>
    <t>INSTITUTO NACIONAL DE PESQUISAS DA AMAZONIA</t>
  </si>
  <si>
    <t>Marne Carvalho de Vasconcellos</t>
  </si>
  <si>
    <t>https://openalex.org/A5057523816</t>
  </si>
  <si>
    <t>Joaquim Pedro Barreto</t>
  </si>
  <si>
    <t>https://openalex.org/A5033167750</t>
  </si>
  <si>
    <t>Systems engineering</t>
  </si>
  <si>
    <t>systems engineering</t>
  </si>
  <si>
    <t>INSTITUTO NACIONAL DE PESQUISAS ESPACIAIS</t>
  </si>
  <si>
    <t>Edgard Morya</t>
  </si>
  <si>
    <t>https://openalex.org/A5017741934</t>
  </si>
  <si>
    <t>Neuroscience</t>
  </si>
  <si>
    <t>INSTITUTO SANTOS DUMONT</t>
  </si>
  <si>
    <t>2020 (CNPq 13/2020); 2024 (CNPq 07/2024)</t>
  </si>
  <si>
    <t>2020-2021; 2024-2027</t>
  </si>
  <si>
    <t>neuroscience</t>
  </si>
  <si>
    <t>Jose Karam Filho</t>
  </si>
  <si>
    <t>https://openalex.org/A5019388178</t>
  </si>
  <si>
    <t>Finite element method</t>
  </si>
  <si>
    <t>finite element method</t>
  </si>
  <si>
    <t>LABORATORIO NACIONAL DE COMPUTACAO CIENTIFICA</t>
  </si>
  <si>
    <t>Alessandra Borin Nogueira</t>
  </si>
  <si>
    <t>https://openalex.org/A5012525186</t>
  </si>
  <si>
    <t>PONTIFICIA UNIVERSIDADE CATOLICA DE CAMPINAS</t>
  </si>
  <si>
    <t>Sueli do Carmo Bettine</t>
  </si>
  <si>
    <t>https://openalex.org/A5008286144</t>
  </si>
  <si>
    <t>Lysa Bernardes Minasi</t>
  </si>
  <si>
    <t>https://openalex.org/A5078253544</t>
  </si>
  <si>
    <t>PONTIFICIA UNIVERSIDADE CATOLICA DE GOIAS</t>
  </si>
  <si>
    <t>Lafayette Pozzoli</t>
  </si>
  <si>
    <t>https://openalex.org/A5006958507</t>
  </si>
  <si>
    <t>PONTIFICIA UNIVERSIDADE CATOLICA DE SAO PAULO</t>
  </si>
  <si>
    <t>Cleybe Hiole Vieira</t>
  </si>
  <si>
    <t>https://openalex.org/A5022984225</t>
  </si>
  <si>
    <t>Epistemology</t>
  </si>
  <si>
    <t>2014 (PIBIC-EM 2014-2016); 2016 (CNPq 07/2016); 2018 (CNPq 05/2018); 2020 (CNPq 13/2020); 2022 (CNPq 35/2022); 2024 (CNPq 07/2024)</t>
  </si>
  <si>
    <t>2014-2016; 2016-2018; 2018-2020; 2020-2021; 2022-2024; 2024-2027</t>
  </si>
  <si>
    <t>epistemology</t>
  </si>
  <si>
    <t>PONTIFICIA UNIVERSIDADE CATOLICA DO PARANA</t>
  </si>
  <si>
    <t>Anelise Beneduzi da Silveira</t>
  </si>
  <si>
    <t>https://openalex.org/A5056730740</t>
  </si>
  <si>
    <t>SECRETARIA DA AGRICULTURA PECUARIA E IRRIGACAO DO RS</t>
  </si>
  <si>
    <t>ORGAO PUBLICO</t>
  </si>
  <si>
    <t>Luciana Paes de Andrade</t>
  </si>
  <si>
    <t>https://openalex.org/A5076725880</t>
  </si>
  <si>
    <t>UNIVERSIDADE ANHANGUERA UNIDERP</t>
  </si>
  <si>
    <t>Denise Renata Pedrinho</t>
  </si>
  <si>
    <t>https://openalex.org/A5088401386</t>
  </si>
  <si>
    <t>Eduardo Batman Junior</t>
  </si>
  <si>
    <t>UNIVERSIDADE BRASIL</t>
  </si>
  <si>
    <t>Renato Amaro Zângaro</t>
  </si>
  <si>
    <t>https://openalex.org/A5091393756</t>
  </si>
  <si>
    <t>Alexandre Schirmer Kieling</t>
  </si>
  <si>
    <t>https://openalex.org/A5102736619</t>
  </si>
  <si>
    <t>UNIVERSIDADE CATOLICA DE BRASILIA</t>
  </si>
  <si>
    <t>Paula Andreia Silva</t>
  </si>
  <si>
    <t>https://openalex.org/A5047872832</t>
  </si>
  <si>
    <t>Silvia Keli de Barros Alcanfor</t>
  </si>
  <si>
    <t>https://openalex.org/A5028462272</t>
  </si>
  <si>
    <t>Nickel</t>
  </si>
  <si>
    <t>nickel</t>
  </si>
  <si>
    <t>Marina de Lima Neves Barros</t>
  </si>
  <si>
    <t>https://openalex.org/A5063257597</t>
  </si>
  <si>
    <t>UNIVERSIDADE CATOLICA DE PERNAMBUCO</t>
  </si>
  <si>
    <t>Sergio de Souza Salles</t>
  </si>
  <si>
    <t>https://openalex.org/A5085904691</t>
  </si>
  <si>
    <t>UNIVERSIDADE CATOLICA DE PETROPOLIS</t>
  </si>
  <si>
    <t>Simone Caldara Motta Wieselthaler</t>
  </si>
  <si>
    <t>https://openalex.org/A5038171819</t>
  </si>
  <si>
    <t>Mauricio Marques Pinto da Silva</t>
  </si>
  <si>
    <t>https://openalex.org/A5033212300</t>
  </si>
  <si>
    <t>UNIVERSIDADE CATOLICA DE SANTOS</t>
  </si>
  <si>
    <t>Veronica Altef Barros</t>
  </si>
  <si>
    <t>https://openalex.org/A5045386828</t>
  </si>
  <si>
    <t>Work (physics)</t>
  </si>
  <si>
    <t>work (physics)</t>
  </si>
  <si>
    <t>Silvana Sá de Carvalho</t>
  </si>
  <si>
    <t>https://openalex.org/A5056872545</t>
  </si>
  <si>
    <t>UNIVERSIDADE CATOLICA DO SALVADOR</t>
  </si>
  <si>
    <t>Cristiano Marcelo Espinola Carvalho</t>
  </si>
  <si>
    <t>https://openalex.org/A5072853076</t>
  </si>
  <si>
    <t>UNIVERSIDADE CATOLICA DOM BOSCO</t>
  </si>
  <si>
    <t>Sandra Lucia Ferreira</t>
  </si>
  <si>
    <t>https://openalex.org/A5103207229</t>
  </si>
  <si>
    <t>UNIVERSIDADE CIDADE DE SAO PAULO</t>
  </si>
  <si>
    <t>Carolina Riviera Duarte Maluche Baretta</t>
  </si>
  <si>
    <t>https://openalex.org/A5022454262</t>
  </si>
  <si>
    <t>UNIVERSIDADE COMUNITARIA DA REGIAO DE CHAPECO</t>
  </si>
  <si>
    <t>Maria Aparecida Lucca Caovilla</t>
  </si>
  <si>
    <t>https://openalex.org/A5013921752</t>
  </si>
  <si>
    <t>Claudio Machado Maia</t>
  </si>
  <si>
    <t>https://openalex.org/A5060089307</t>
  </si>
  <si>
    <t>Vanessa da Silva Corralo</t>
  </si>
  <si>
    <t>https://openalex.org/A5052443436</t>
  </si>
  <si>
    <t>Tania Cristina Pithon Curi</t>
  </si>
  <si>
    <t>https://openalex.org/A5047673730</t>
  </si>
  <si>
    <t>UNIVERSIDADE CRUZEIRO DO SUL</t>
  </si>
  <si>
    <t>Joserlene Lima Pinheiro</t>
  </si>
  <si>
    <t>https://openalex.org/A5013065475</t>
  </si>
  <si>
    <t>UNIVERSIDADE DA INTEGRACAO INTERNACIONAL DA LUSOFONIA AFRO BRASILEIRA</t>
  </si>
  <si>
    <t>Albanise Barbosa Marinho</t>
  </si>
  <si>
    <t>https://openalex.org/A5012549152</t>
  </si>
  <si>
    <t>Allberson Bruno de Oliveira Dantas</t>
  </si>
  <si>
    <t>https://openalex.org/A5085270108</t>
  </si>
  <si>
    <t>Operating system</t>
  </si>
  <si>
    <t>operating system</t>
  </si>
  <si>
    <t>Juliana Jales de Hollanda Celestino</t>
  </si>
  <si>
    <t>https://openalex.org/A5103255320</t>
  </si>
  <si>
    <t>Andrology</t>
  </si>
  <si>
    <t>andrology</t>
  </si>
  <si>
    <t>Heloisa Maria Moreira Lima de Almeida Salles</t>
  </si>
  <si>
    <t>https://openalex.org/A5061773301</t>
  </si>
  <si>
    <t>Linguistics</t>
  </si>
  <si>
    <t>Linguística, Letras e Artes</t>
  </si>
  <si>
    <t>linguistics</t>
  </si>
  <si>
    <t>UNIVERSIDADE DE BRASILIA</t>
  </si>
  <si>
    <t>Nilda Stecanela</t>
  </si>
  <si>
    <t>https://openalex.org/A5075099821</t>
  </si>
  <si>
    <t>UNIVERSIDADE DE CAXIAS DO SUL</t>
  </si>
  <si>
    <t>Matheus Parmegiani Jahn</t>
  </si>
  <si>
    <t>https://openalex.org/A5007455205</t>
  </si>
  <si>
    <t>Mauricio Moura da Silveira</t>
  </si>
  <si>
    <t>https://openalex.org/A5066372308</t>
  </si>
  <si>
    <t>Carine Cristina Callegaro</t>
  </si>
  <si>
    <t>https://openalex.org/A5080436137</t>
  </si>
  <si>
    <t>UNIVERSIDADE DE CRUZ ALTA</t>
  </si>
  <si>
    <t>Lília Maia de Morais Sales</t>
  </si>
  <si>
    <t>https://openalex.org/A5067483944</t>
  </si>
  <si>
    <t>UNIVERSIDADE DE FORTALEZA</t>
  </si>
  <si>
    <t>Haroldo Rodrigues de Albuquerque Junior</t>
  </si>
  <si>
    <t>Joao Jose Vasco Peixoto Furtado</t>
  </si>
  <si>
    <t>https://openalex.org/A5080437218</t>
  </si>
  <si>
    <t>Katia Jorge Ciuﬃ</t>
  </si>
  <si>
    <t>https://openalex.org/A5002275551</t>
  </si>
  <si>
    <t>UNIVERSIDADE DE FRANCA</t>
  </si>
  <si>
    <t>Walkiria Martinez Heinrich Ferrer</t>
  </si>
  <si>
    <t>https://openalex.org/A5026357793</t>
  </si>
  <si>
    <t>UNIVERSIDADE DE MARILIA</t>
  </si>
  <si>
    <t>Alexandre Magno Andrade Maciel</t>
  </si>
  <si>
    <t>https://openalex.org/A5010326271</t>
  </si>
  <si>
    <t>UNIVERSIDADE DE PERNAMBUCO</t>
  </si>
  <si>
    <t>Andréia Rosane de Moura Valim</t>
  </si>
  <si>
    <t>https://openalex.org/A5011573030</t>
  </si>
  <si>
    <t>UNIVERSIDADE DE SANTA CRUZ DO SUL</t>
  </si>
  <si>
    <t>Adilson Ben da Costa</t>
  </si>
  <si>
    <t>https://openalex.org/A5066050859</t>
  </si>
  <si>
    <t>Ana Paula Ribeiro</t>
  </si>
  <si>
    <t>https://openalex.org/A5004975737</t>
  </si>
  <si>
    <t>Dentistry</t>
  </si>
  <si>
    <t>UNIVERSIDADE DE SANTO AMARO</t>
  </si>
  <si>
    <t>dentistry</t>
  </si>
  <si>
    <t>Patricia Colombo de Souza</t>
  </si>
  <si>
    <t>https://openalex.org/A5113135226</t>
  </si>
  <si>
    <t>Roseli de Deus Lopes</t>
  </si>
  <si>
    <t>https://openalex.org/A5034107071</t>
  </si>
  <si>
    <t>Human–computer interaction</t>
  </si>
  <si>
    <t>humancomputer interaction</t>
  </si>
  <si>
    <t>UNIVERSIDADE DE SAO PAULO</t>
  </si>
  <si>
    <t>Regina de Oliveira Moraes Arruda</t>
  </si>
  <si>
    <t>https://openalex.org/A5047411544</t>
  </si>
  <si>
    <t>Luciane Cruz Lopes</t>
  </si>
  <si>
    <t>https://openalex.org/A5026942372</t>
  </si>
  <si>
    <t>UNIVERSIDADE DE SOROCABA</t>
  </si>
  <si>
    <t>Valquíria Miwa Hanai Yoshida</t>
  </si>
  <si>
    <t>https://openalex.org/A5102855408</t>
  </si>
  <si>
    <t>Sheila Cavalca Cortelli</t>
  </si>
  <si>
    <t>https://openalex.org/A5039890397</t>
  </si>
  <si>
    <t>UNIVERSIDADE DE TAUBATE</t>
  </si>
  <si>
    <t>Francisco José Grandinetti</t>
  </si>
  <si>
    <t>https://openalex.org/A5080976735</t>
  </si>
  <si>
    <t>Monica Franchi Carniello</t>
  </si>
  <si>
    <t>https://openalex.org/A5058904990</t>
  </si>
  <si>
    <t>Geraldo Thedei Junior</t>
  </si>
  <si>
    <t>https://openalex.org/A5091806698</t>
  </si>
  <si>
    <t>UNIVERSIDADE DE UBERABA</t>
  </si>
  <si>
    <t>Eduardo Manuel de Freitas Jorge</t>
  </si>
  <si>
    <t>https://openalex.org/A5013007903</t>
  </si>
  <si>
    <t>UNIVERSIDADE DO ESTADO DA BAHIA</t>
  </si>
  <si>
    <t>Vanessa Carla Furtado Mosqueira</t>
  </si>
  <si>
    <t>https://openalex.org/A5063528242</t>
  </si>
  <si>
    <t>UNIVERSIDADE DO ESTADO DE MINAS GERAIS</t>
  </si>
  <si>
    <t>Vanesca Korasaki</t>
  </si>
  <si>
    <t>https://openalex.org/A5020898012</t>
  </si>
  <si>
    <t>https://openalex.org/A5069978437</t>
  </si>
  <si>
    <t>UNIVERSIDADE DO ESTADO DE SANTA CATARINA</t>
  </si>
  <si>
    <t>Antonio Carlos Vargas Sant'anna</t>
  </si>
  <si>
    <t>Letícia Sequinatto Rossi</t>
  </si>
  <si>
    <t>https://openalex.org/A5067421810</t>
  </si>
  <si>
    <t>Soil science</t>
  </si>
  <si>
    <t>soil science</t>
  </si>
  <si>
    <t>Alexandre Amorim dos Reis</t>
  </si>
  <si>
    <t>https://openalex.org/A5043944564</t>
  </si>
  <si>
    <t>Sergio Henrique Pezzin</t>
  </si>
  <si>
    <t>https://openalex.org/A5005371545</t>
  </si>
  <si>
    <t>Luciano Araujo Pereira</t>
  </si>
  <si>
    <t>https://openalex.org/A5007636737</t>
  </si>
  <si>
    <t>UNIVERSIDADE DO ESTADO DO AMAPA</t>
  </si>
  <si>
    <t>Zenaide Palheta Miranda</t>
  </si>
  <si>
    <t>https://openalex.org/A5089457395</t>
  </si>
  <si>
    <t>Luanna de Melo Pereira Fernandes</t>
  </si>
  <si>
    <t>https://openalex.org/A5008097097</t>
  </si>
  <si>
    <t>UNIVERSIDADE DO ESTADO DO PARA</t>
  </si>
  <si>
    <t>Anibal Correia Brito Neto</t>
  </si>
  <si>
    <t>https://openalex.org/A5112349765</t>
  </si>
  <si>
    <t>Egberto Gaspar de Moura</t>
  </si>
  <si>
    <t>https://openalex.org/A5063019973</t>
  </si>
  <si>
    <t>UNIVERSIDADE DO ESTADO DO RIO DE JANEIRO</t>
  </si>
  <si>
    <t>Luis Antonio Campinho Pereira da Mota</t>
  </si>
  <si>
    <t>Elizabeth Fernandes de Macedo</t>
  </si>
  <si>
    <t>https://openalex.org/A5020873020</t>
  </si>
  <si>
    <t>Monica da Costa Pereira Lavalle Heilbron</t>
  </si>
  <si>
    <t>https://openalex.org/A5012762129</t>
  </si>
  <si>
    <t>Claudio Lopes de Vasconcelos</t>
  </si>
  <si>
    <t>https://openalex.org/A5059186831</t>
  </si>
  <si>
    <t>UNIVERSIDADE DO ESTADO DO RIO GRANDE DO NORTE</t>
  </si>
  <si>
    <t>Gisele Silveira Coelho Lopes</t>
  </si>
  <si>
    <t>https://openalex.org/A5085120227</t>
  </si>
  <si>
    <t>UNIVERSIDADE DO EXTREMO SUL CATARINENSE</t>
  </si>
  <si>
    <t>Patricia de Aguiar Amaral</t>
  </si>
  <si>
    <t>https://openalex.org/A5047485340</t>
  </si>
  <si>
    <t>Traditional medicine</t>
  </si>
  <si>
    <t>traditional medicine</t>
  </si>
  <si>
    <t>Luciane Bisognin Ceretta</t>
  </si>
  <si>
    <t>https://openalex.org/A5084156932</t>
  </si>
  <si>
    <t>Oscar Rubem Klegues Montedo</t>
  </si>
  <si>
    <t>https://openalex.org/A5048020285</t>
  </si>
  <si>
    <t>Emilio Antonio Francischetti</t>
  </si>
  <si>
    <t>https://openalex.org/A5109033929</t>
  </si>
  <si>
    <t>UNIVERSIDADE DO GRANDE RIO PROFESSOR JOSE DE SOUZA HERDY</t>
  </si>
  <si>
    <t>Nara Pires</t>
  </si>
  <si>
    <t>https://openalex.org/A5016429628</t>
  </si>
  <si>
    <t>Jair Rodrigues Garcia Junior</t>
  </si>
  <si>
    <t>https://openalex.org/A5066204689</t>
  </si>
  <si>
    <t>UNIVERSIDADE DO OESTE PAULISTA</t>
  </si>
  <si>
    <t>Lilia Aparecida Kanan</t>
  </si>
  <si>
    <t>https://openalex.org/A5001726756</t>
  </si>
  <si>
    <t>UNIVERSIDADE DO PLANALTO CATARINENSE</t>
  </si>
  <si>
    <t>Cristina Keiko Yamaguchi</t>
  </si>
  <si>
    <t>https://openalex.org/A5028239653</t>
  </si>
  <si>
    <t>Patricia Alves de Souza</t>
  </si>
  <si>
    <t>https://openalex.org/A5087543709</t>
  </si>
  <si>
    <t>Valdir Cechinel Filho</t>
  </si>
  <si>
    <t>https://openalex.org/A5037890780</t>
  </si>
  <si>
    <t>UNIVERSIDADE DO VALE DO ITAJAI</t>
  </si>
  <si>
    <t>Dorotea Frank Kersch</t>
  </si>
  <si>
    <t>https://openalex.org/A5079553500</t>
  </si>
  <si>
    <t>UNIVERSIDADE DO VALE DO RIO DOS SINOS</t>
  </si>
  <si>
    <t>Maura Corcini Lopes</t>
  </si>
  <si>
    <t>https://openalex.org/A5019262775</t>
  </si>
  <si>
    <t>Alsones Balestrin</t>
  </si>
  <si>
    <t>https://openalex.org/A5020639582</t>
  </si>
  <si>
    <t>Knowledge management</t>
  </si>
  <si>
    <t>knowledge management</t>
  </si>
  <si>
    <t>Carlos Candido da Silva Cyrne</t>
  </si>
  <si>
    <t>https://openalex.org/A5015589725</t>
  </si>
  <si>
    <t>UNIVERSIDADE DO VALE DO TAQUARI</t>
  </si>
  <si>
    <t>Marcia Jussara Hepp Rehfeldt</t>
  </si>
  <si>
    <t>https://openalex.org/A5049735084</t>
  </si>
  <si>
    <t>Carlos Henrique Salvino Gadelha Meneses</t>
  </si>
  <si>
    <t>https://openalex.org/A5065253285</t>
  </si>
  <si>
    <t>UNIVERSIDADE ESTADUAL DA PARAIBA</t>
  </si>
  <si>
    <t>Beatriz Susana Ovruski de Ceballos</t>
  </si>
  <si>
    <t>https://openalex.org/A5010185330</t>
  </si>
  <si>
    <t>Weverton Pereira Rodrigues</t>
  </si>
  <si>
    <t>https://openalex.org/A5051715322</t>
  </si>
  <si>
    <t>UNIVERSIDADE ESTADUAL DA REGIAO TOCANTINA DO MARANHAO</t>
  </si>
  <si>
    <t>Ana Maria Frattini Fileti</t>
  </si>
  <si>
    <t>https://openalex.org/A5067783470</t>
  </si>
  <si>
    <t>UNIVERSIDADE ESTADUAL DE CAMPINAS</t>
  </si>
  <si>
    <t>Glaucia Maria Pastore</t>
  </si>
  <si>
    <t>https://openalex.org/A5070953949</t>
  </si>
  <si>
    <t>Munir Salomao Skaf</t>
  </si>
  <si>
    <t>https://openalex.org/A5072069815</t>
  </si>
  <si>
    <t>Joao Marcos Travassos Romano</t>
  </si>
  <si>
    <t>https://openalex.org/A5073005597</t>
  </si>
  <si>
    <t>Emanuele Mariano de Souza Santos</t>
  </si>
  <si>
    <t>https://openalex.org/A5055646349</t>
  </si>
  <si>
    <t>UNIVERSIDADE ESTADUAL DE CIENCIAS DA SAUDE DE ALAGOAS</t>
  </si>
  <si>
    <t>Silvone Santa Barbara da Silva</t>
  </si>
  <si>
    <t>https://openalex.org/A5024478132</t>
  </si>
  <si>
    <t>UNIVERSIDADE ESTADUAL DE FEIRA DE SANTANA</t>
  </si>
  <si>
    <t>Eurelino Teixeira Coelho Neto</t>
  </si>
  <si>
    <t>https://openalex.org/A5009485493</t>
  </si>
  <si>
    <t>Aristeu Vieira da Silva</t>
  </si>
  <si>
    <t>https://openalex.org/A5086685439</t>
  </si>
  <si>
    <t>Antibody</t>
  </si>
  <si>
    <t>antibody</t>
  </si>
  <si>
    <t>Marluce Maria Araújo Assis</t>
  </si>
  <si>
    <t>https://openalex.org/A5085100093</t>
  </si>
  <si>
    <t>Ivano Alessandro Devilla</t>
  </si>
  <si>
    <t>https://openalex.org/A5070669286</t>
  </si>
  <si>
    <t>UNIVERSIDADE ESTADUAL DE GOIAS</t>
  </si>
  <si>
    <t>Fabiano Boaventura de Miranda</t>
  </si>
  <si>
    <t>https://openalex.org/A5010080717</t>
  </si>
  <si>
    <t>Mathematics</t>
  </si>
  <si>
    <t>Lattice (music)</t>
  </si>
  <si>
    <t>lattice (music)</t>
  </si>
  <si>
    <t>Pedro Oliveira Paulo</t>
  </si>
  <si>
    <t>https://openalex.org/A5024492269</t>
  </si>
  <si>
    <t>Carmen Silvia Vieira Janeiro Neves</t>
  </si>
  <si>
    <t>https://openalex.org/A5087663454</t>
  </si>
  <si>
    <t>UNIVERSIDADE ESTADUAL DE LONDRINA</t>
  </si>
  <si>
    <t>Celia Regina Granhen Tavares</t>
  </si>
  <si>
    <t>https://openalex.org/A5111707484</t>
  </si>
  <si>
    <t>UNIVERSIDADE ESTADUAL DE MARINGA</t>
  </si>
  <si>
    <t>Clóves Cabreira Jobim</t>
  </si>
  <si>
    <t>https://openalex.org/A5047916956</t>
  </si>
  <si>
    <t>Luiz Fernando Cótica</t>
  </si>
  <si>
    <t>https://openalex.org/A5073750266</t>
  </si>
  <si>
    <t>Clarice Diniz Alvarenga Corsato</t>
  </si>
  <si>
    <t>https://openalex.org/A5074541531</t>
  </si>
  <si>
    <t>UNIVERSIDADE ESTADUAL DE MONTES CLAROS</t>
  </si>
  <si>
    <t>Mario Fernando Montenegro Campos</t>
  </si>
  <si>
    <t>https://openalex.org/A5015111328</t>
  </si>
  <si>
    <t>Adelina Martha dos Reis</t>
  </si>
  <si>
    <t>https://openalex.org/A5076905564</t>
  </si>
  <si>
    <t>Danilo Bretas de Oliveira</t>
  </si>
  <si>
    <t>https://openalex.org/A5103877670</t>
  </si>
  <si>
    <t>Renato de Lima Santos</t>
  </si>
  <si>
    <t>https://openalex.org/A5057863113</t>
  </si>
  <si>
    <t>Vicente Ribeiro Rocha Júnior</t>
  </si>
  <si>
    <t>https://openalex.org/A5006149816</t>
  </si>
  <si>
    <t>Virgílio Mesquita Gomes</t>
  </si>
  <si>
    <t>https://openalex.org/A5075514194</t>
  </si>
  <si>
    <t>Paulo Vitor Farago</t>
  </si>
  <si>
    <t>https://openalex.org/A5020188149</t>
  </si>
  <si>
    <t>UNIVERSIDADE ESTADUAL DE PONTA GROSSA</t>
  </si>
  <si>
    <t>Maristella Dalla Pria</t>
  </si>
  <si>
    <t>https://openalex.org/A5036640052</t>
  </si>
  <si>
    <t>Rodrigo Rodrigues Matiello</t>
  </si>
  <si>
    <t>https://openalex.org/A5063885561</t>
  </si>
  <si>
    <t>Isabella Coutinho Costa</t>
  </si>
  <si>
    <t>https://openalex.org/A5002210914</t>
  </si>
  <si>
    <t>RR</t>
  </si>
  <si>
    <t>UNIVERSIDADE ESTADUAL DE RORAIMA</t>
  </si>
  <si>
    <t>Rildo Dias da Silva</t>
  </si>
  <si>
    <t>https://openalex.org/A5029043985</t>
  </si>
  <si>
    <t>Alexandre Schiavetti</t>
  </si>
  <si>
    <t>https://openalex.org/A5055402973</t>
  </si>
  <si>
    <t>UNIVERSIDADE ESTADUAL DE SANTA CRUZ</t>
  </si>
  <si>
    <t>George Rêgo Albuquerque</t>
  </si>
  <si>
    <t>https://openalex.org/A5031277730</t>
  </si>
  <si>
    <t>Veterinary medicine</t>
  </si>
  <si>
    <t>veterinary medicine</t>
  </si>
  <si>
    <t>Fernanda Amato Gaiotto</t>
  </si>
  <si>
    <t>https://openalex.org/A5001971923</t>
  </si>
  <si>
    <t>Marcos Ventura Faria</t>
  </si>
  <si>
    <t>https://openalex.org/A5055236654</t>
  </si>
  <si>
    <t>UNIVERSIDADE ESTADUAL DO CENTRO OESTE</t>
  </si>
  <si>
    <t>Sandra Mara Guse Scos Venske</t>
  </si>
  <si>
    <t>https://openalex.org/A5039293212</t>
  </si>
  <si>
    <t>Mathematical optimization</t>
  </si>
  <si>
    <t>mathematical optimization</t>
  </si>
  <si>
    <t>Christiane Luciana da Costa</t>
  </si>
  <si>
    <t>https://openalex.org/A5067346033</t>
  </si>
  <si>
    <t>UNIVERSIDADE ESTADUAL DO NORTE DO PARANA</t>
  </si>
  <si>
    <t>Fernando Moreno da Silva</t>
  </si>
  <si>
    <t>https://openalex.org/A5058765461</t>
  </si>
  <si>
    <t>Jorge Sobral da Silva Maia</t>
  </si>
  <si>
    <t>https://openalex.org/A5009419830</t>
  </si>
  <si>
    <t>Barbara Nivalda Palharini Alvim Sousa</t>
  </si>
  <si>
    <t>https://openalex.org/A5079294311</t>
  </si>
  <si>
    <t>Sanimar Busse</t>
  </si>
  <si>
    <t>https://openalex.org/A5051565298</t>
  </si>
  <si>
    <t>UNIVERSIDADE ESTADUAL DO OESTE DO PARANA</t>
  </si>
  <si>
    <t>Carlos Alexandre Molena Fernandes</t>
  </si>
  <si>
    <t>https://openalex.org/A5022678532</t>
  </si>
  <si>
    <t>UNIVERSIDADE ESTADUAL DO PARANA</t>
  </si>
  <si>
    <t>Erli Schneider Costa</t>
  </si>
  <si>
    <t>https://openalex.org/A5072570891</t>
  </si>
  <si>
    <t>UNIVERSIDADE ESTADUAL DO RIO GRANDE DO SUL</t>
  </si>
  <si>
    <t>Roberio Rodrigues Silva</t>
  </si>
  <si>
    <t>https://openalex.org/A5056875081</t>
  </si>
  <si>
    <t>UNIVERSIDADE ESTADUAL DO SUDOESTE DA BAHIA</t>
  </si>
  <si>
    <t>Ana Flavia Gouveia de Faria</t>
  </si>
  <si>
    <t>https://openalex.org/A5012597040</t>
  </si>
  <si>
    <t>UNIVERSIDADE ESTADUAL DO TOCANTIS</t>
  </si>
  <si>
    <t>2020 (CNPq 13/2020); 2022 (CNPq 35/2022);2024 (CNPq 07/2024)</t>
  </si>
  <si>
    <t>Maria José Soares Mendes Giannini</t>
  </si>
  <si>
    <t>https://openalex.org/A5087935552</t>
  </si>
  <si>
    <t>UNIVERSIDADE ESTADUAL PAULISTA JULIO DE MESQUITA FILHO</t>
  </si>
  <si>
    <t>Carlos Frederico de Oliveira Graeﬀ</t>
  </si>
  <si>
    <t>https://openalex.org/A5035282108</t>
  </si>
  <si>
    <t>Edson Cocchieri Botelho</t>
  </si>
  <si>
    <t>https://openalex.org/A5039727104</t>
  </si>
  <si>
    <t>Bianca de Freitas Terra</t>
  </si>
  <si>
    <t>https://openalex.org/A5113880248</t>
  </si>
  <si>
    <t>UNIVERSIDADE ESTADUAL VALE DO ACARAU</t>
  </si>
  <si>
    <t>Maria Adelane Monteiro da Silva</t>
  </si>
  <si>
    <t>https://openalex.org/A5102875427</t>
  </si>
  <si>
    <t>Ronaldo Lopes Oliveira</t>
  </si>
  <si>
    <t>https://openalex.org/A5087085797</t>
  </si>
  <si>
    <t>UNIVERSIDADE FEDERAL DA BAHIA</t>
  </si>
  <si>
    <t>Joviles Vitorio Trevisol</t>
  </si>
  <si>
    <t>https://openalex.org/A5076306478</t>
  </si>
  <si>
    <t>UNIVERSIDADE FEDERAL DA FRONTEIRA SUL</t>
  </si>
  <si>
    <t>2014 (PIBIC-EM 2014-2016); 2016 (CNPq 07/2016); 2018 (CNPq 05/2018); 2024 (CNPq 07/2024)</t>
  </si>
  <si>
    <t>2014-2016; 2016-2018; 2018-2020; 2024-2027</t>
  </si>
  <si>
    <t>Clevison Luiz Giacobbo</t>
  </si>
  <si>
    <t>https://openalex.org/A5089755279</t>
  </si>
  <si>
    <t>Patricia Hatsue Suegama</t>
  </si>
  <si>
    <t>https://openalex.org/A5062564005</t>
  </si>
  <si>
    <t>Metallurgy</t>
  </si>
  <si>
    <t>UNIVERSIDADE FEDERAL DA GRANDE DE DOURADOS</t>
  </si>
  <si>
    <t>metallurgy</t>
  </si>
  <si>
    <t>Maricy Raquel Lindenbah Bonfa</t>
  </si>
  <si>
    <t>https://openalex.org/A5046050917</t>
  </si>
  <si>
    <t>Nelson Luís de Campos Domingues</t>
  </si>
  <si>
    <t>https://openalex.org/A5056762017</t>
  </si>
  <si>
    <t>Maria do Carmo Vieira</t>
  </si>
  <si>
    <t>https://openalex.org/A5020449013</t>
  </si>
  <si>
    <t>Laura Fortes</t>
  </si>
  <si>
    <t>https://openalex.org/A5072972312</t>
  </si>
  <si>
    <t>UNIVERSIDADE FEDERAL DA INTEGRACAO LATINO AMERICANA</t>
  </si>
  <si>
    <t>Dinaldo Sepúlveda Almendra Filho</t>
  </si>
  <si>
    <t>https://openalex.org/A5022508083</t>
  </si>
  <si>
    <t>UNIVERSIDADE FEDERAL DA INTEGRACAO LATINO-AMERICANA</t>
  </si>
  <si>
    <t>Fernando Cesar Vieira Zanella</t>
  </si>
  <si>
    <t>https://openalex.org/A5024466018</t>
  </si>
  <si>
    <t>Marcelo Alves Ramos</t>
  </si>
  <si>
    <t>https://openalex.org/A5013578530</t>
  </si>
  <si>
    <t>UNIVERSIDADE FEDERAL DA PARAIBA</t>
  </si>
  <si>
    <t>Bagnólia Araújo Costa</t>
  </si>
  <si>
    <t>https://openalex.org/A5051135147</t>
  </si>
  <si>
    <t>Claudia de Figueiredo Braga</t>
  </si>
  <si>
    <t>https://openalex.org/A5002017168</t>
  </si>
  <si>
    <t>Maria de Fatima Vanderlei de Souza</t>
  </si>
  <si>
    <t>https://openalex.org/A5039852613</t>
  </si>
  <si>
    <t>Magna Suzana Alexandre Moreira</t>
  </si>
  <si>
    <t>https://openalex.org/A5061142579</t>
  </si>
  <si>
    <t>UNIVERSIDADE FEDERAL DE ALAGOAS</t>
  </si>
  <si>
    <t>André Lage Freitas</t>
  </si>
  <si>
    <t>https://openalex.org/A5082179432</t>
  </si>
  <si>
    <t>Service (business)</t>
  </si>
  <si>
    <t>service (business)</t>
  </si>
  <si>
    <t>Noelio Oliveira Dantas</t>
  </si>
  <si>
    <t>https://openalex.org/A5043354407</t>
  </si>
  <si>
    <t>Pedro Valentim dos Santos</t>
  </si>
  <si>
    <t>https://openalex.org/A5049557698</t>
  </si>
  <si>
    <t>Claudio Viegas Junior</t>
  </si>
  <si>
    <t>https://openalex.org/A5040070958</t>
  </si>
  <si>
    <t>UNIVERSIDADE FEDERAL DE ALFENAS</t>
  </si>
  <si>
    <t>Vanessa Bergamin Boralli Marques</t>
  </si>
  <si>
    <t>https://openalex.org/A5034045152</t>
  </si>
  <si>
    <t>Carlos Tadeu Siepierski</t>
  </si>
  <si>
    <t>https://openalex.org/A5069701747</t>
  </si>
  <si>
    <t>Eric Batista Ferreira</t>
  </si>
  <si>
    <t>https://openalex.org/A5059338938</t>
  </si>
  <si>
    <t>Rosilene Dias Montenegro</t>
  </si>
  <si>
    <t>https://openalex.org/A5028905206</t>
  </si>
  <si>
    <t>UNIVERSIDADE FEDERAL DE CAMPINA GRANDE</t>
  </si>
  <si>
    <t>Fernando Schramm</t>
  </si>
  <si>
    <t>https://openalex.org/A5060128842</t>
  </si>
  <si>
    <t>Matheus Augusto de Bittencourt Pasquali</t>
  </si>
  <si>
    <t>https://openalex.org/A5084318647</t>
  </si>
  <si>
    <t>Luciano Barosi de Lemos</t>
  </si>
  <si>
    <t>https://openalex.org/A5036028529</t>
  </si>
  <si>
    <t>Michel François Fossy</t>
  </si>
  <si>
    <t>José Julio de Cerqueira Pituba</t>
  </si>
  <si>
    <t>https://openalex.org/A5061713546</t>
  </si>
  <si>
    <t>Structural engineering</t>
  </si>
  <si>
    <t>UNIVERSIDADE FEDERAL DE CATALAO</t>
  </si>
  <si>
    <t>structural engineering</t>
  </si>
  <si>
    <t>Moises Fernandes Lemos</t>
  </si>
  <si>
    <t>https://openalex.org/A5032313767</t>
  </si>
  <si>
    <t>Fabiola Souza Fiaccadori</t>
  </si>
  <si>
    <t>https://openalex.org/A5043985132</t>
  </si>
  <si>
    <t>UNIVERSIDADE FEDERAL DE GOIAS</t>
  </si>
  <si>
    <t>Jeniﬀer de Nadae</t>
  </si>
  <si>
    <t>https://openalex.org/A5048472072</t>
  </si>
  <si>
    <t>UNIVERSIDADE FEDERAL DE ITAJUBA</t>
  </si>
  <si>
    <t>Simério Carlos Silva Cruz</t>
  </si>
  <si>
    <t>https://openalex.org/A5072488721</t>
  </si>
  <si>
    <t>UNIVERSIDADE FEDERAL DE JATAI</t>
  </si>
  <si>
    <t>Nubia de Souza Lobato</t>
  </si>
  <si>
    <t>https://openalex.org/A5110847214</t>
  </si>
  <si>
    <t>Gerson Luiz Roani</t>
  </si>
  <si>
    <t>https://openalex.org/A5024779520</t>
  </si>
  <si>
    <t>UNIVERSIDADE FEDERAL DE JUIZ DE FORA</t>
  </si>
  <si>
    <t>Priscila de Faria Pinto</t>
  </si>
  <si>
    <t>https://openalex.org/A5011100404</t>
  </si>
  <si>
    <t>Rubens Leonardo Panegassi</t>
  </si>
  <si>
    <t>https://openalex.org/A5010792799</t>
  </si>
  <si>
    <t>Gecele Matos Paggi</t>
  </si>
  <si>
    <t>https://openalex.org/A5086738423</t>
  </si>
  <si>
    <t>UNIVERSIDADE FEDERAL DE MATO GROSSO DO SUL</t>
  </si>
  <si>
    <t>Leandro Denis Battirola</t>
  </si>
  <si>
    <t>https://openalex.org/A5049245317</t>
  </si>
  <si>
    <t>Joanis Tilemahos Zervoudakis</t>
  </si>
  <si>
    <t>https://openalex.org/A5058498598</t>
  </si>
  <si>
    <t>Luiz Eduardo Roland Tavares</t>
  </si>
  <si>
    <t>https://openalex.org/A5000704170</t>
  </si>
  <si>
    <t>Zoology</t>
  </si>
  <si>
    <t>zoology</t>
  </si>
  <si>
    <t>Fernando Marcos dos Reis</t>
  </si>
  <si>
    <t>https://openalex.org/A5067881201</t>
  </si>
  <si>
    <t>UNIVERSIDADE FEDERAL DE MINAS GERAIS</t>
  </si>
  <si>
    <t>Renata Guerra de Sa Cota</t>
  </si>
  <si>
    <t>https://openalex.org/A5040935562</t>
  </si>
  <si>
    <t>Proteasome</t>
  </si>
  <si>
    <t>proteasome</t>
  </si>
  <si>
    <t>UNIVERSIDADE FEDERAL DE OURO PRETO</t>
  </si>
  <si>
    <t>Luciano Volcan Agostini</t>
  </si>
  <si>
    <t>https://openalex.org/A5070735330</t>
  </si>
  <si>
    <t>Statistics</t>
  </si>
  <si>
    <t>UNIVERSIDADE FEDERAL DE PELOTAS</t>
  </si>
  <si>
    <t>statistics</t>
  </si>
  <si>
    <t>Flavio Fernando Demarco</t>
  </si>
  <si>
    <t>https://openalex.org/A5078971163</t>
  </si>
  <si>
    <t>Bruna Martins Bezerra</t>
  </si>
  <si>
    <t>https://openalex.org/A5049523475</t>
  </si>
  <si>
    <t>UNIVERSIDADE FEDERAL DE PERNAMBUCO</t>
  </si>
  <si>
    <t>Maria Tereza dos Santos Correia</t>
  </si>
  <si>
    <t>https://openalex.org/A5038682046</t>
  </si>
  <si>
    <t>Beate Saegesser Santos</t>
  </si>
  <si>
    <t>https://openalex.org/A5034237705</t>
  </si>
  <si>
    <t>Valderez Pinto Ferreira</t>
  </si>
  <si>
    <t>https://openalex.org/A5091682679</t>
  </si>
  <si>
    <t>Jose Carlos Frantz</t>
  </si>
  <si>
    <t>https://openalex.org/A5003865450</t>
  </si>
  <si>
    <t>UNIVERSIDADE FEDERAL DE RIO GRANDE DO SUL</t>
  </si>
  <si>
    <t>Jefferson Cardia Simões</t>
  </si>
  <si>
    <t>https://openalex.org/A5024978557</t>
  </si>
  <si>
    <t>Oceanography</t>
  </si>
  <si>
    <t>oceanography</t>
  </si>
  <si>
    <t>Lidianne Assis Silva</t>
  </si>
  <si>
    <t>https://openalex.org/A5008466924</t>
  </si>
  <si>
    <t>UNIVERSIDADE FEDERAL DE RONDONIA</t>
  </si>
  <si>
    <t>Alexandre de Almeida e Silva</t>
  </si>
  <si>
    <t>https://openalex.org/A5010120230</t>
  </si>
  <si>
    <t>Guilherme Mendes Tomaz dos Santos</t>
  </si>
  <si>
    <t>https://openalex.org/A5049130424</t>
  </si>
  <si>
    <t>Edna Maria Bonfim da Silva</t>
  </si>
  <si>
    <t>https://openalex.org/A5008131794</t>
  </si>
  <si>
    <t>UNIVERSIDADE FEDERAL DE RONDONOPOLIS</t>
  </si>
  <si>
    <t>Katielle Susane do Nascimento Silva</t>
  </si>
  <si>
    <t>https://openalex.org/A5059096747</t>
  </si>
  <si>
    <t>UNIVERSIDADE FEDERAL DE RORAIMA</t>
  </si>
  <si>
    <t>Leila Braga Ribeiro</t>
  </si>
  <si>
    <t>https://openalex.org/A5057936969</t>
  </si>
  <si>
    <t>Geyza Alves Pimentel</t>
  </si>
  <si>
    <t>https://openalex.org/A5054428761</t>
  </si>
  <si>
    <t>Rosangela Duarte</t>
  </si>
  <si>
    <t>https://openalex.org/A5025703667</t>
  </si>
  <si>
    <t>William Gerson Matias</t>
  </si>
  <si>
    <t>https://openalex.org/A5001587729</t>
  </si>
  <si>
    <t>UNIVERSIDADE FEDERAL DE SANTA CATARINA</t>
  </si>
  <si>
    <t>Maique Weber Biavatti</t>
  </si>
  <si>
    <t>https://openalex.org/A5051043389</t>
  </si>
  <si>
    <t>Sesquiterpene</t>
  </si>
  <si>
    <t>sesquiterpene</t>
  </si>
  <si>
    <t>Armando Albertazzi Gonçalves Júnior</t>
  </si>
  <si>
    <t>https://openalex.org/A5078944428</t>
  </si>
  <si>
    <t>Point cloud</t>
  </si>
  <si>
    <t>point cloud</t>
  </si>
  <si>
    <t>Jamil Assreuy</t>
  </si>
  <si>
    <t>https://openalex.org/A5005886154</t>
  </si>
  <si>
    <t>Paulo Cesar Piquini</t>
  </si>
  <si>
    <t>https://openalex.org/A5004950718</t>
  </si>
  <si>
    <t>Crystallography</t>
  </si>
  <si>
    <t>UNIVERSIDADE FEDERAL DE SANTA MARIA</t>
  </si>
  <si>
    <t>crystallography</t>
  </si>
  <si>
    <t>Cristina Wayne Nogueira</t>
  </si>
  <si>
    <t>https://openalex.org/A5113145588</t>
  </si>
  <si>
    <t>Fillipe Vieira Rocha</t>
  </si>
  <si>
    <t>https://openalex.org/A5102890554</t>
  </si>
  <si>
    <t>UNIVERSIDADE FEDERAL DE SAO CARLOS</t>
  </si>
  <si>
    <t>Joao Batista Fernandes</t>
  </si>
  <si>
    <t>https://openalex.org/A5100644171</t>
  </si>
  <si>
    <t>Andre de Oliveira Baldoni</t>
  </si>
  <si>
    <t>https://openalex.org/A5068741414</t>
  </si>
  <si>
    <t>UNIVERSIDADE FEDERAL DE SAO JOAO DEL REI</t>
  </si>
  <si>
    <t>Isabel Marian Hartmann de Quadros</t>
  </si>
  <si>
    <t>https://openalex.org/A5034392363</t>
  </si>
  <si>
    <t>UNIVERSIDADE FEDERAL DE SAO PAULO</t>
  </si>
  <si>
    <t>Marco Antonio Zonta</t>
  </si>
  <si>
    <t>https://openalex.org/A5005130041</t>
  </si>
  <si>
    <t>Deborah Suchecki</t>
  </si>
  <si>
    <t>https://openalex.org/A5004851064</t>
  </si>
  <si>
    <t>Ieda Maria Longo Maugéri</t>
  </si>
  <si>
    <t>https://openalex.org/A5047376732</t>
  </si>
  <si>
    <t>Jesiel Freitas Carvalho</t>
  </si>
  <si>
    <t>https://openalex.org/A5060683653</t>
  </si>
  <si>
    <t>UNIVERSIDADE FEDERAL DE UBERLANDIA</t>
  </si>
  <si>
    <t>https://openalex.org/A5070443611</t>
  </si>
  <si>
    <t>Kleber del Claro</t>
  </si>
  <si>
    <t>Maria Clorinda Soares Fioravanti</t>
  </si>
  <si>
    <t>https://openalex.org/A5055688213</t>
  </si>
  <si>
    <t>Murilo Vieira da Silva</t>
  </si>
  <si>
    <t>https://openalex.org/A5088398876</t>
  </si>
  <si>
    <t>Helena Carasek</t>
  </si>
  <si>
    <t>https://openalex.org/A5113474500</t>
  </si>
  <si>
    <t>Marinaldo Divino Ribeiro</t>
  </si>
  <si>
    <t>https://openalex.org/A5016242175</t>
  </si>
  <si>
    <t>Raul Narciso Carvalho Guedes</t>
  </si>
  <si>
    <t>https://openalex.org/A5064835000</t>
  </si>
  <si>
    <t>UNIVERSIDADE FEDERAL DE VICOSA</t>
  </si>
  <si>
    <t>Simone Caldas Tavares Mafra</t>
  </si>
  <si>
    <t>https://openalex.org/A5076418103</t>
  </si>
  <si>
    <t>Sônia Maria Malmonge</t>
  </si>
  <si>
    <t>https://openalex.org/A5015365663</t>
  </si>
  <si>
    <t>UNIVERSIDADE FEDERAL DO ABC</t>
  </si>
  <si>
    <t>Wagner Alves Carvalho</t>
  </si>
  <si>
    <t>https://openalex.org/A5020136134</t>
  </si>
  <si>
    <t>2024 (CNPq 07/2024); 2022 (CNPq 35/2022)</t>
  </si>
  <si>
    <t>Humberto Naoyuki Yoshimura</t>
  </si>
  <si>
    <t>https://openalex.org/A5027636601</t>
  </si>
  <si>
    <t>Marcela Sorelli Carneiro Ramos</t>
  </si>
  <si>
    <t>https://openalex.org/A5001981967</t>
  </si>
  <si>
    <t>Marcus Alvarenga Soares</t>
  </si>
  <si>
    <t>https://openalex.org/A5038042032</t>
  </si>
  <si>
    <t>Josimar Batista Ferreira</t>
  </si>
  <si>
    <t>https://openalex.org/A5031653540</t>
  </si>
  <si>
    <t>UNIVERSIDADE FEDERAL DO ACRE</t>
  </si>
  <si>
    <t>Jose Romualdo de Sousa Lima</t>
  </si>
  <si>
    <t>https://openalex.org/A5057360780</t>
  </si>
  <si>
    <t>Geotechnical engineering</t>
  </si>
  <si>
    <t>UNIVERSIDADE FEDERAL DO AGRESTE DE PERNAMBUCO</t>
  </si>
  <si>
    <t>geotechnical engineering</t>
  </si>
  <si>
    <t>Elizabeth Viana Moraes da Costa</t>
  </si>
  <si>
    <t>https://openalex.org/A5098234908</t>
  </si>
  <si>
    <t>Phytochemical</t>
  </si>
  <si>
    <t>phytochemical</t>
  </si>
  <si>
    <t>UNIVERSIDADE FEDERAL DO AMAPA</t>
  </si>
  <si>
    <t>Antonio Sergio Monteiro Filocreão</t>
  </si>
  <si>
    <t>https://openalex.org/A5055726617</t>
  </si>
  <si>
    <t>Germana Maria Araújo Sales</t>
  </si>
  <si>
    <t>https://openalex.org/A5060457221</t>
  </si>
  <si>
    <t>UNIVERSIDADE FEDERAL DO AMAZONAS</t>
  </si>
  <si>
    <t>Juarez Antônio Simões Quaresma</t>
  </si>
  <si>
    <t>https://openalex.org/A5009662066</t>
  </si>
  <si>
    <t>Renato da Costa Teixeira</t>
  </si>
  <si>
    <t>https://openalex.org/A5017117846</t>
  </si>
  <si>
    <t>Adriana Malheiro Alle Marie</t>
  </si>
  <si>
    <t>https://openalex.org/A5080797462</t>
  </si>
  <si>
    <t>Nelissa Peralta Bezerra</t>
  </si>
  <si>
    <t>https://openalex.org/A5006667889</t>
  </si>
  <si>
    <t>Romulo Simoes Angelica</t>
  </si>
  <si>
    <t>https://openalex.org/A5000140082</t>
  </si>
  <si>
    <t>Mineralogy</t>
  </si>
  <si>
    <t>mineralogy</t>
  </si>
  <si>
    <t>Suezilde da Conceição Amaral Ribeiro</t>
  </si>
  <si>
    <t>https://openalex.org/A5072941450</t>
  </si>
  <si>
    <t>Paulo Roberto Lacerda Tavares</t>
  </si>
  <si>
    <t>https://openalex.org/A5084552937</t>
  </si>
  <si>
    <t>UNIVERSIDADE FEDERAL DO CARIRI</t>
  </si>
  <si>
    <t>Thiago Mielle Brito Ferreira Oliveira</t>
  </si>
  <si>
    <t>https://openalex.org/A5082820357</t>
  </si>
  <si>
    <t>Vicente Helano Feitosa Batista Sobrinho</t>
  </si>
  <si>
    <t>Geanne Matos de Andrade</t>
  </si>
  <si>
    <t>https://openalex.org/A5050453479</t>
  </si>
  <si>
    <t>UNIVERSIDADE FEDERAL DO CEARA</t>
  </si>
  <si>
    <t>Kalyne Leal</t>
  </si>
  <si>
    <t>https://openalex.org/A5065679072</t>
  </si>
  <si>
    <t>Luiz Gonzaga de Franca Lopes</t>
  </si>
  <si>
    <t>https://openalex.org/A5048937421</t>
  </si>
  <si>
    <t>Cassiano Felippe Goncalves de Albuquerque</t>
  </si>
  <si>
    <t>https://openalex.org/A5001581827</t>
  </si>
  <si>
    <t>UNIVERSIDADE FEDERAL DO ESTADO DO RIO DE JANEIRO</t>
  </si>
  <si>
    <t>Evelyn Goyannes Dill Orrico</t>
  </si>
  <si>
    <t>https://openalex.org/A5077703467</t>
  </si>
  <si>
    <t>https://openalex.org/A5065779140</t>
  </si>
  <si>
    <t>UNIVERSIDADE FEDERAL DO MARANHAO</t>
  </si>
  <si>
    <t>Naime Diane Sauaia Holanda Silva</t>
  </si>
  <si>
    <t>Manoel Messias Ferreira Junior</t>
  </si>
  <si>
    <t>Alexandre César Muniz de Oliveira</t>
  </si>
  <si>
    <t>https://openalex.org/A5049640992</t>
  </si>
  <si>
    <t>Audirene Amorim Santana</t>
  </si>
  <si>
    <t>https://openalex.org/A5076377560</t>
  </si>
  <si>
    <t>Davi Viana dos Santos</t>
  </si>
  <si>
    <t>https://openalex.org/A5032910388</t>
  </si>
  <si>
    <t>Programming language</t>
  </si>
  <si>
    <t>programming language</t>
  </si>
  <si>
    <t>Patricia Silva Osorio</t>
  </si>
  <si>
    <t>https://openalex.org/A5005361896</t>
  </si>
  <si>
    <t>UNIVERSIDADE FEDERAL DO MATO GROSSO</t>
  </si>
  <si>
    <t>Roberta Gomes Marcal Vieira Vaz</t>
  </si>
  <si>
    <t>https://openalex.org/A5067062894</t>
  </si>
  <si>
    <t>UNIVERSIDADE FEDERAL DO NORTE DO TOCANTINS</t>
  </si>
  <si>
    <t>Adna Luciana de Souza</t>
  </si>
  <si>
    <t>https://openalex.org/A5091266709</t>
  </si>
  <si>
    <t>Gerontology</t>
  </si>
  <si>
    <t>gerontology</t>
  </si>
  <si>
    <t>UNIVERSIDADE FEDERAL DO OESTE DA BAHIA</t>
  </si>
  <si>
    <t>Dannuza Dias Cavalcante</t>
  </si>
  <si>
    <t>https://openalex.org/A5010810334</t>
  </si>
  <si>
    <t>Valdeilson Souza Braga</t>
  </si>
  <si>
    <t>https://openalex.org/A5107665101</t>
  </si>
  <si>
    <t>Gabriel Brito Costa</t>
  </si>
  <si>
    <t>https://openalex.org/A5021006953</t>
  </si>
  <si>
    <t>UNIVERSIDADE FEDERAL DO OESTE DO PARA</t>
  </si>
  <si>
    <t>Bruno Braulino Batista</t>
  </si>
  <si>
    <t>https://openalex.org/A5003395107</t>
  </si>
  <si>
    <t>Antonio Humberto Hamad Minervino</t>
  </si>
  <si>
    <t>https://openalex.org/A5065057713</t>
  </si>
  <si>
    <t>Delaine Sampaio da Silva</t>
  </si>
  <si>
    <t>https://openalex.org/A5002383326</t>
  </si>
  <si>
    <t>Keylla Maria de Sa Urtiga Aita</t>
  </si>
  <si>
    <t>https://openalex.org/A5013600336</t>
  </si>
  <si>
    <t>UNIVERSIDADE FEDERAL DO PAIUI</t>
  </si>
  <si>
    <t>Fabio Gallas Leivas</t>
  </si>
  <si>
    <t>https://openalex.org/A5027849709</t>
  </si>
  <si>
    <t>Daiana Silva de Ávila</t>
  </si>
  <si>
    <t>https://openalex.org/A5088443582</t>
  </si>
  <si>
    <t>Velci Queiróz de Souza</t>
  </si>
  <si>
    <t>https://openalex.org/A5002108774</t>
  </si>
  <si>
    <t>Emmanuel Zagury Tourinho</t>
  </si>
  <si>
    <t>https://openalex.org/A5014858236</t>
  </si>
  <si>
    <t>UNIVERSIDADE FEDERAL DO PARA</t>
  </si>
  <si>
    <t>Edvaldo da Silva Trindade</t>
  </si>
  <si>
    <t>https://openalex.org/A5019787655</t>
  </si>
  <si>
    <t>UNIVERSIDADE FEDERAL DO PARANA</t>
  </si>
  <si>
    <t>Larissa Liz Odreski Ramina</t>
  </si>
  <si>
    <t>2018 (CNPq 05/2018); 2022 (CNPq 35/2022)</t>
  </si>
  <si>
    <t>2018-2020; 2022-2024</t>
  </si>
  <si>
    <t>Jaíra Maria Alcobaça Gomes</t>
  </si>
  <si>
    <t>https://openalex.org/A5063818277</t>
  </si>
  <si>
    <t>UNIVERSIDADE FEDERAL DO PIAUI</t>
  </si>
  <si>
    <t>João Batista Lopes</t>
  </si>
  <si>
    <t>https://openalex.org/A5021672376</t>
  </si>
  <si>
    <t>Soraia Barreto Aguiar Fonteles</t>
  </si>
  <si>
    <t>https://openalex.org/A5047227699</t>
  </si>
  <si>
    <t>UNIVERSIDADE FEDERAL DO RECONCAVO DA BAHIA</t>
  </si>
  <si>
    <t>Kilder Leite Ribeiro</t>
  </si>
  <si>
    <t>https://openalex.org/A5116003809</t>
  </si>
  <si>
    <t>Digital transformation</t>
  </si>
  <si>
    <t>digital transformation</t>
  </si>
  <si>
    <t>Denise Maria Guimarães Freire</t>
  </si>
  <si>
    <t>https://openalex.org/A5020532230</t>
  </si>
  <si>
    <t>UNIVERSIDADE FEDERAL DO RIO DE JANEIRO</t>
  </si>
  <si>
    <t>Joao Ramos Torres de Mello Neto</t>
  </si>
  <si>
    <t>Márcia Rosana Cerioli</t>
  </si>
  <si>
    <t>https://openalex.org/A5035781389</t>
  </si>
  <si>
    <t>Combinatorics</t>
  </si>
  <si>
    <t>combinatorics</t>
  </si>
  <si>
    <t>Carlos Frederico Bernardo Loureiro</t>
  </si>
  <si>
    <t>https://openalex.org/A5039110365</t>
  </si>
  <si>
    <t>Russolina Benedeta Zingali</t>
  </si>
  <si>
    <t>https://openalex.org/A5046510304</t>
  </si>
  <si>
    <t>Ana Luiza Muccillo Baisch</t>
  </si>
  <si>
    <t>https://openalex.org/A5049166264</t>
  </si>
  <si>
    <t>UNIVERSIDADE FEDERAL DO RIO GRANDE</t>
  </si>
  <si>
    <t>Jorge Tarcisio da Rocha Falcao</t>
  </si>
  <si>
    <t>https://openalex.org/A5001917682</t>
  </si>
  <si>
    <t>UNIVERSIDADE FEDERAL DO RIO GRANDE DO NORTE</t>
  </si>
  <si>
    <t>Sérgio Ronaldo Granemann</t>
  </si>
  <si>
    <t>https://openalex.org/A5058065946</t>
  </si>
  <si>
    <t>Olivia Morais de Medeiros Neta</t>
  </si>
  <si>
    <t>https://openalex.org/A5068979658</t>
  </si>
  <si>
    <t>Elaine Cristina Gavioli</t>
  </si>
  <si>
    <t>https://openalex.org/A5075899873</t>
  </si>
  <si>
    <t>Luís da Cunha Lamb</t>
  </si>
  <si>
    <t>https://openalex.org/A5002143669</t>
  </si>
  <si>
    <t>UNIVERSIDADE FEDERAL DO RIO GRANDE DO SUL</t>
  </si>
  <si>
    <t>Rafael Roesler</t>
  </si>
  <si>
    <t>https://openalex.org/A5034971594</t>
  </si>
  <si>
    <t>Andrea Carla Dalmolin</t>
  </si>
  <si>
    <t>https://openalex.org/A5033362021</t>
  </si>
  <si>
    <t>UNIVERSIDADE FEDERAL DO SUL DA BAHIA</t>
  </si>
  <si>
    <t>Fabrício Lopes de Carvalho</t>
  </si>
  <si>
    <t>https://openalex.org/A5062878433</t>
  </si>
  <si>
    <t>Crustacean</t>
  </si>
  <si>
    <t>crustacean</t>
  </si>
  <si>
    <t>Robson da Silva Magalhães</t>
  </si>
  <si>
    <t>https://openalex.org/A5080410828</t>
  </si>
  <si>
    <t>Gilmara Regina Lima Feio</t>
  </si>
  <si>
    <t>https://openalex.org/A5066912665</t>
  </si>
  <si>
    <t>UNIVERSIDADE FEDERAL DO SUL E SUDESTE DO PARA</t>
  </si>
  <si>
    <t>Cindy Stella Fernandes</t>
  </si>
  <si>
    <t>https://openalex.org/A5006289342</t>
  </si>
  <si>
    <t>Carlos Renato Lisboa Francês</t>
  </si>
  <si>
    <t>https://openalex.org/A5104798932</t>
  </si>
  <si>
    <t>Convolutional neural network</t>
  </si>
  <si>
    <t>convolutional neural network</t>
  </si>
  <si>
    <t>Renata Junqueira Pereira</t>
  </si>
  <si>
    <t>https://openalex.org/A5029716239</t>
  </si>
  <si>
    <t>UNIVERSIDADE FEDERAL DO TOCANTINS</t>
  </si>
  <si>
    <t>Diego Ebling do Nascimento</t>
  </si>
  <si>
    <t>https://openalex.org/A5059624726</t>
  </si>
  <si>
    <t>Marciel Barcelos Lano</t>
  </si>
  <si>
    <t>https://openalex.org/A5008924939</t>
  </si>
  <si>
    <t>Julio Cesar de Souza Inacio Goncalves</t>
  </si>
  <si>
    <t>https://openalex.org/A5002902079</t>
  </si>
  <si>
    <t>UNIVERSIDADE FEDERAL DO TRIANGULO MINEIRO</t>
  </si>
  <si>
    <t>Adriana Gonçalves de Oliveira</t>
  </si>
  <si>
    <t>https://openalex.org/A5101816203</t>
  </si>
  <si>
    <t>André Luiz Pedrosa</t>
  </si>
  <si>
    <t>https://openalex.org/A5091269988</t>
  </si>
  <si>
    <t>Jurema Ribeiro Luiz Goncalves</t>
  </si>
  <si>
    <t>https://openalex.org/A5038661968</t>
  </si>
  <si>
    <t>Maria Helena Tavares de Matos</t>
  </si>
  <si>
    <t>https://openalex.org/A5044404097</t>
  </si>
  <si>
    <t>UNIVERSIDADE FEDERAL DO VALE DO SAO FRANCISCO</t>
  </si>
  <si>
    <t>Cheila Nataly Galindo Bedor</t>
  </si>
  <si>
    <t>https://openalex.org/A5054704308</t>
  </si>
  <si>
    <t>Raimundo Campos Palheta Junior</t>
  </si>
  <si>
    <t>https://openalex.org/A5038607007</t>
  </si>
  <si>
    <t>Augusto Miguel Nascimento Lima</t>
  </si>
  <si>
    <t>https://openalex.org/A5020847873</t>
  </si>
  <si>
    <t>Andre Rodrigo Rech</t>
  </si>
  <si>
    <t>https://openalex.org/A5012629368</t>
  </si>
  <si>
    <t>UNIVERSIDADE FEDERAL DOS VALES DO JEQUITINHONHA E MUCURI</t>
  </si>
  <si>
    <t>Fabrício da Silva Terra</t>
  </si>
  <si>
    <t>https://openalex.org/A5028298005</t>
  </si>
  <si>
    <t>Marcelino Santos de Morais</t>
  </si>
  <si>
    <t>https://openalex.org/A5086571683</t>
  </si>
  <si>
    <t>Antonio Claudio Lucas da Nobrega</t>
  </si>
  <si>
    <t>https://openalex.org/A5085838808</t>
  </si>
  <si>
    <t>UNIVERSIDADE FEDERAL FLUMINESE</t>
  </si>
  <si>
    <t>Barbara Dunck Oliveira</t>
  </si>
  <si>
    <t>https://openalex.org/A5076605585</t>
  </si>
  <si>
    <t>UNIVERSIDADE FEDERAL RURAL DA AMAZONIA</t>
  </si>
  <si>
    <t>Cândido Ferreira de Oliveira Neto</t>
  </si>
  <si>
    <t>https://openalex.org/A5022358457</t>
  </si>
  <si>
    <t>Ricardo André Cavalcante de Souza</t>
  </si>
  <si>
    <t>https://openalex.org/A5025534840</t>
  </si>
  <si>
    <t>UNIVERSIDADE FEDERAL RURAL DE PERNAMBUCO</t>
  </si>
  <si>
    <t>Maria Madalena Pessoa Guerra</t>
  </si>
  <si>
    <t>https://openalex.org/A5086905179</t>
  </si>
  <si>
    <t>Marcelle Almeida da Silva</t>
  </si>
  <si>
    <t>https://openalex.org/A5087759723</t>
  </si>
  <si>
    <t>Robson Wagner Albuquerque de Medeiros</t>
  </si>
  <si>
    <t>https://openalex.org/A5061257167</t>
  </si>
  <si>
    <t>Software engineering</t>
  </si>
  <si>
    <t>software engineering</t>
  </si>
  <si>
    <t>Lúcia Helena Cunha dos Anjos</t>
  </si>
  <si>
    <t>https://openalex.org/A5023504994</t>
  </si>
  <si>
    <t>Soil water</t>
  </si>
  <si>
    <t>UNIVERSIDADE FEDERAL RURAL DO RIO DE JANEIRO</t>
  </si>
  <si>
    <t>soil water</t>
  </si>
  <si>
    <t>Alexandre Fortes</t>
  </si>
  <si>
    <t>https://openalex.org/A5029616643</t>
  </si>
  <si>
    <t>Roberto Carlos Costa Lelis</t>
  </si>
  <si>
    <t>https://openalex.org/A5063007998</t>
  </si>
  <si>
    <t>Jose Luis Fernando Luque Alejos</t>
  </si>
  <si>
    <t>https://openalex.org/A5052894210</t>
  </si>
  <si>
    <t>Glauber Henrique de Sousa Nunes</t>
  </si>
  <si>
    <t>https://openalex.org/A5045196938</t>
  </si>
  <si>
    <t>UNIVERSIDADE FEDERAL RURAL DO SEMI ARIDO</t>
  </si>
  <si>
    <t>Vander Mendonca</t>
  </si>
  <si>
    <t>https://openalex.org/A5073137158</t>
  </si>
  <si>
    <t>João Alcione Sganderla Figueiredo</t>
  </si>
  <si>
    <t>https://openalex.org/A5033689651</t>
  </si>
  <si>
    <t>UNIVERSIDADE FEEVALE</t>
  </si>
  <si>
    <t>Fernando Rosado Spilki</t>
  </si>
  <si>
    <t>https://openalex.org/A5066046313</t>
  </si>
  <si>
    <t>Solange Binotto Fagan</t>
  </si>
  <si>
    <t>https://openalex.org/A5086050859</t>
  </si>
  <si>
    <t>UNIVERSIDADE FRANCISCANA</t>
  </si>
  <si>
    <t>Cid Gonçalves Filho</t>
  </si>
  <si>
    <t>https://openalex.org/A5056457694</t>
  </si>
  <si>
    <t>UNIVERSIDADE FUMEC</t>
  </si>
  <si>
    <t>Vanessa Madrona Moreira Salles</t>
  </si>
  <si>
    <t>https://openalex.org/A5034827665</t>
  </si>
  <si>
    <t>Patricia Kayser Vargas Mangan</t>
  </si>
  <si>
    <t>https://openalex.org/A5091616957</t>
  </si>
  <si>
    <t>UNIVERSIDADE LA SALLE</t>
  </si>
  <si>
    <t>Moana Meinhardt</t>
  </si>
  <si>
    <t>https://openalex.org/A5057111270</t>
  </si>
  <si>
    <t>Nádia Teresinha Schröder</t>
  </si>
  <si>
    <t>https://openalex.org/A5056552830</t>
  </si>
  <si>
    <t>UNIVERSIDADE LUTERANA DO BRASIL</t>
  </si>
  <si>
    <t>Erwin Francisco Tochtrop Junior</t>
  </si>
  <si>
    <t>https://openalex.org/A5067035318</t>
  </si>
  <si>
    <t>Rosana Macher Teodori</t>
  </si>
  <si>
    <t>https://openalex.org/A5017829732</t>
  </si>
  <si>
    <t>Physical medicine and rehabilitation</t>
  </si>
  <si>
    <t>physical medicine and rehabilitation</t>
  </si>
  <si>
    <t>UNIVERSIDADE METODISTA DE PIRACICABA</t>
  </si>
  <si>
    <t>Sandra Kalil Bussadori</t>
  </si>
  <si>
    <t>https://openalex.org/A5023882356</t>
  </si>
  <si>
    <t>UNIVERSIDADE METROPOLITANA DE SANTOS</t>
  </si>
  <si>
    <t>Maria do Carmo Romeiro</t>
  </si>
  <si>
    <t>https://openalex.org/A5057942897</t>
  </si>
  <si>
    <t>UNIVERSIDADE MUNICIPAL DE SAO CAETANO DO SUL</t>
  </si>
  <si>
    <t>Evellyn Claudia Wietzikoski Lovato</t>
  </si>
  <si>
    <t>https://openalex.org/A5049586109</t>
  </si>
  <si>
    <t>UNIVERSIDADE PARANAENSE</t>
  </si>
  <si>
    <t>Marília Pereira Bueno Millan</t>
  </si>
  <si>
    <t>https://openalex.org/A5086342815</t>
  </si>
  <si>
    <t>UNIVERSIDADE PAULISTA</t>
  </si>
  <si>
    <t>Bettina Gerken Brasil</t>
  </si>
  <si>
    <t>https://openalex.org/A5051969708</t>
  </si>
  <si>
    <t>Helio Hiroshi Suguimoto</t>
  </si>
  <si>
    <t>https://openalex.org/A5057960450</t>
  </si>
  <si>
    <t>UNIVERSIDADE PITAGORAS UNOPAR</t>
  </si>
  <si>
    <t>Michele Debiasi Alberton</t>
  </si>
  <si>
    <t>https://openalex.org/A5059483585</t>
  </si>
  <si>
    <t>Alexander Christian Vibrans</t>
  </si>
  <si>
    <t>https://openalex.org/A5006748033</t>
  </si>
  <si>
    <t>Marcos Rivail da Silva</t>
  </si>
  <si>
    <t>https://openalex.org/A5108440324</t>
  </si>
  <si>
    <t>Environmental chemistry</t>
  </si>
  <si>
    <t>environmental chemistry</t>
  </si>
  <si>
    <t>Edson Soares Martins</t>
  </si>
  <si>
    <t>https://openalex.org/A5007543321</t>
  </si>
  <si>
    <t>UNIVERSIDADE REGIONAL DO CARIRI</t>
  </si>
  <si>
    <t>Irwin Rose Alencar de Menezes</t>
  </si>
  <si>
    <t>https://openalex.org/A5012477217</t>
  </si>
  <si>
    <t>Maria Arlene Pessoa da Silva</t>
  </si>
  <si>
    <t>https://openalex.org/A5031417470</t>
  </si>
  <si>
    <t>Flávio França Cruz</t>
  </si>
  <si>
    <t>https://openalex.org/A5077974337</t>
  </si>
  <si>
    <t>Mathematical analysis</t>
  </si>
  <si>
    <t>mathematical analysis</t>
  </si>
  <si>
    <t>Juliana Maria Oliveira Silva</t>
  </si>
  <si>
    <t>https://openalex.org/A5085745561</t>
  </si>
  <si>
    <t>Daniel Knebel Baggio</t>
  </si>
  <si>
    <t>https://openalex.org/A5077461956</t>
  </si>
  <si>
    <t>UNIVERSIDADE REGIONAL DO NOROESTE DO ESTADO DO RIO GRANDE DO SUL</t>
  </si>
  <si>
    <t>Valeska Martins da Silva</t>
  </si>
  <si>
    <t>https://openalex.org/A5109036487</t>
  </si>
  <si>
    <t>Janaina Coser</t>
  </si>
  <si>
    <t>https://openalex.org/A5041767712</t>
  </si>
  <si>
    <t>Gynecology</t>
  </si>
  <si>
    <t>gynecology</t>
  </si>
  <si>
    <t>Fernando Jaime González</t>
  </si>
  <si>
    <t>https://openalex.org/A5110734368</t>
  </si>
  <si>
    <t>Evelise Moraes Berlezi</t>
  </si>
  <si>
    <t>https://openalex.org/A5029309351</t>
  </si>
  <si>
    <t>Neusa Maria John Scheid</t>
  </si>
  <si>
    <t>https://openalex.org/A5076374688</t>
  </si>
  <si>
    <t>UNIVERSIDADE REGIONAL INTEGRADA DO ALTO URUGUAI E DAS MISSOES</t>
  </si>
  <si>
    <t>Giovani Palma Bastos</t>
  </si>
  <si>
    <t>Marcelo Paulo Stracke</t>
  </si>
  <si>
    <t>https://openalex.org/A5081191268</t>
  </si>
  <si>
    <t>Claudette Maria Medeiros Vendramini</t>
  </si>
  <si>
    <t>https://openalex.org/A5090543351</t>
  </si>
  <si>
    <t>UNIVERSIDADE SAO FRANCISCO</t>
  </si>
  <si>
    <t>Iara Lucia Tescarollo</t>
  </si>
  <si>
    <t>https://openalex.org/A5033309973</t>
  </si>
  <si>
    <t>Rodrigo Eduardo Catai</t>
  </si>
  <si>
    <t>https://openalex.org/A5055356397</t>
  </si>
  <si>
    <t>UNIVERSIDADE TECNOLOGICA FEDERAL DO PARANA</t>
  </si>
  <si>
    <t>Eduardo Jose de Almeida Araujo</t>
  </si>
  <si>
    <t>https://openalex.org/A5113508777</t>
  </si>
  <si>
    <t>Sanitation</t>
  </si>
  <si>
    <t>sanitation</t>
  </si>
  <si>
    <t>Fábio de Oliveira Pitta</t>
  </si>
  <si>
    <t>https://openalex.org/A5079224080</t>
  </si>
  <si>
    <t>Fábio Kurt Schneider</t>
  </si>
  <si>
    <t>https://openalex.org/A5064835103</t>
  </si>
  <si>
    <t>Adriana Karla de Lima</t>
  </si>
  <si>
    <t>https://openalex.org/A5005387867</t>
  </si>
  <si>
    <t>2018 (CNPq 05/2018); 2022 (CNPq 35/2022); 2024 (CNPq 07/2024)</t>
  </si>
  <si>
    <t>2018-2020; 2022-2024; 2024-2027</t>
  </si>
  <si>
    <t>UNIVERSIDADE TIRADENTES</t>
  </si>
  <si>
    <t>Fabrício Bau Dalmas</t>
  </si>
  <si>
    <t>https://openalex.org/A5037593127</t>
  </si>
  <si>
    <t>UNIVERSIDADE UNIVERSUS VERITAS GUARULHOS</t>
  </si>
  <si>
    <t>Carlos Eduardo Soares Canejo Pinheiro da Cunha</t>
  </si>
  <si>
    <t>https://openalex.org/A5011534220</t>
  </si>
  <si>
    <t>UNIVERSIDADE VEIGA DE ALMEIDA</t>
  </si>
  <si>
    <t>Marcio Fronza</t>
  </si>
  <si>
    <t>https://openalex.org/A5075461533</t>
  </si>
  <si>
    <t>UNIVERSIDADE VILA VELHA</t>
  </si>
  <si>
    <t>Marco Antonio Oliva Cano</t>
  </si>
  <si>
    <t>https://openalex.org/A5112672234</t>
  </si>
  <si>
    <t>uf</t>
  </si>
  <si>
    <t>tem_igc</t>
  </si>
  <si>
    <t>Variável</t>
  </si>
  <si>
    <t>Tipo</t>
  </si>
  <si>
    <t>Descrição / Significado</t>
  </si>
  <si>
    <t>Origem / Método de obtenção</t>
  </si>
  <si>
    <t>Observações / Uso analítico</t>
  </si>
  <si>
    <t>Numérico</t>
  </si>
  <si>
    <t>Identificador único do pesquisador</t>
  </si>
  <si>
    <t>Texto</t>
  </si>
  <si>
    <t>Grande área de conhecimento (OpenAlex)</t>
  </si>
  <si>
    <t>Classificação simplificada das grandes áreas</t>
  </si>
  <si>
    <t>Frequência de publicações na área específica</t>
  </si>
  <si>
    <t>Classificação customizada</t>
  </si>
  <si>
    <t>Complementa o h-index</t>
  </si>
  <si>
    <t>Total de publicações indexadas</t>
  </si>
  <si>
    <t>Total de citações recebidas</t>
  </si>
  <si>
    <t>Identificador único da instituição</t>
  </si>
  <si>
    <t>genero</t>
  </si>
  <si>
    <t>Masculino</t>
  </si>
  <si>
    <t>Feminino</t>
  </si>
  <si>
    <t>instituto_de_pesquisa</t>
  </si>
  <si>
    <t>anos_vigencia</t>
  </si>
  <si>
    <t>periodo_vigencia_anos</t>
  </si>
  <si>
    <t>Configuração no Jamovi</t>
  </si>
  <si>
    <t>Gerado a partir da normalização de nomes</t>
  </si>
  <si>
    <t>Chave para junções e contagem de participações</t>
  </si>
  <si>
    <r>
      <t xml:space="preserve">Measure: </t>
    </r>
    <r>
      <rPr>
        <b/>
        <sz val="11"/>
        <color theme="1"/>
        <rFont val="Calibri"/>
        <family val="2"/>
        <scheme val="minor"/>
      </rPr>
      <t>Continuous</t>
    </r>
    <r>
      <rPr>
        <sz val="11"/>
        <color theme="1"/>
        <rFont val="Calibri"/>
        <family val="2"/>
        <scheme val="minor"/>
      </rPr>
      <t xml:space="preserve"> · Data: </t>
    </r>
    <r>
      <rPr>
        <b/>
        <sz val="11"/>
        <color theme="1"/>
        <rFont val="Calibri"/>
        <family val="2"/>
        <scheme val="minor"/>
      </rPr>
      <t>Integer</t>
    </r>
  </si>
  <si>
    <t>Limpeza e padronização de nomes</t>
  </si>
  <si>
    <t>Evita duplicidades por grafia</t>
  </si>
  <si>
    <r>
      <t xml:space="preserve">Measure: </t>
    </r>
    <r>
      <rPr>
        <b/>
        <sz val="11"/>
        <color theme="1"/>
        <rFont val="Calibri"/>
        <family val="2"/>
        <scheme val="minor"/>
      </rPr>
      <t>Nominal</t>
    </r>
    <r>
      <rPr>
        <sz val="11"/>
        <color theme="1"/>
        <rFont val="Calibri"/>
        <family val="2"/>
        <scheme val="minor"/>
      </rPr>
      <t xml:space="preserve"> · Data: </t>
    </r>
    <r>
      <rPr>
        <b/>
        <sz val="11"/>
        <color theme="1"/>
        <rFont val="Calibri"/>
        <family val="2"/>
        <scheme val="minor"/>
      </rPr>
      <t>Text</t>
    </r>
  </si>
  <si>
    <t>Gênero do(a) pesquisador(a)</t>
  </si>
  <si>
    <t>Lattes/OpenAlex e verificação manual</t>
  </si>
  <si>
    <t>Análises de desigualdades</t>
  </si>
  <si>
    <r>
      <t xml:space="preserve">Measure: </t>
    </r>
    <r>
      <rPr>
        <b/>
        <sz val="11"/>
        <color theme="1"/>
        <rFont val="Calibri"/>
        <family val="2"/>
        <scheme val="minor"/>
      </rPr>
      <t>Nominal</t>
    </r>
    <r>
      <rPr>
        <sz val="11"/>
        <color theme="1"/>
        <rFont val="Calibri"/>
        <family val="2"/>
        <scheme val="minor"/>
      </rPr>
      <t xml:space="preserve"> · Data: 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 xml:space="preserve"> · Levels sugeridos: </t>
    </r>
    <r>
      <rPr>
        <i/>
        <sz val="11"/>
        <color theme="1"/>
        <rFont val="Calibri"/>
        <family val="2"/>
        <scheme val="minor"/>
      </rPr>
      <t>Masculino; Feminino; Não informado</t>
    </r>
  </si>
  <si>
    <t>OpenAlex</t>
  </si>
  <si>
    <t>Base para macroagregações</t>
  </si>
  <si>
    <r>
      <t xml:space="preserve">Derivada de </t>
    </r>
    <r>
      <rPr>
        <sz val="10"/>
        <color theme="1"/>
        <rFont val="Arial Unicode MS"/>
        <family val="2"/>
      </rPr>
      <t>grande_area</t>
    </r>
  </si>
  <si>
    <t>Simplifica comparações entre áreas</t>
  </si>
  <si>
    <t>Subárea/assunto principal</t>
  </si>
  <si>
    <t>Normalização a partir de OpenAlex</t>
  </si>
  <si>
    <t>Aprofunda análise temática</t>
  </si>
  <si>
    <t>Frequência de ocorrência da grande área no perfil do autor</t>
  </si>
  <si>
    <t>OpenAlex (contagem)</t>
  </si>
  <si>
    <t>Proxy de aderência temática</t>
  </si>
  <si>
    <t>Soma do score de relevância na grande área</t>
  </si>
  <si>
    <t>OpenAlex (scores)</t>
  </si>
  <si>
    <t>Complementa a frequência</t>
  </si>
  <si>
    <r>
      <t xml:space="preserve">Measure: </t>
    </r>
    <r>
      <rPr>
        <b/>
        <sz val="11"/>
        <color theme="1"/>
        <rFont val="Calibri"/>
        <family val="2"/>
        <scheme val="minor"/>
      </rPr>
      <t>Continuous</t>
    </r>
    <r>
      <rPr>
        <sz val="11"/>
        <color theme="1"/>
        <rFont val="Calibri"/>
        <family val="2"/>
        <scheme val="minor"/>
      </rPr>
      <t xml:space="preserve"> · Data: </t>
    </r>
    <r>
      <rPr>
        <b/>
        <sz val="11"/>
        <color theme="1"/>
        <rFont val="Calibri"/>
        <family val="2"/>
        <scheme val="minor"/>
      </rPr>
      <t>Decimal</t>
    </r>
  </si>
  <si>
    <t>Área específica (OpenAlex)</t>
  </si>
  <si>
    <r>
      <t xml:space="preserve">Base para </t>
    </r>
    <r>
      <rPr>
        <sz val="10"/>
        <color theme="1"/>
        <rFont val="Arial Unicode MS"/>
        <family val="2"/>
      </rPr>
      <t>area_freq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  <family val="2"/>
      </rPr>
      <t>area_score_sum</t>
    </r>
  </si>
  <si>
    <t>Concentração temática</t>
  </si>
  <si>
    <t>Soma ponderada de scores na área específica</t>
  </si>
  <si>
    <t>Intensidade/impacto temático</t>
  </si>
  <si>
    <t>Índice-h do pesquisador</t>
  </si>
  <si>
    <t>Indicador de impacto</t>
  </si>
  <si>
    <r>
      <t xml:space="preserve">Measure: </t>
    </r>
    <r>
      <rPr>
        <b/>
        <sz val="11"/>
        <color theme="1"/>
        <rFont val="Calibri"/>
        <family val="2"/>
        <scheme val="minor"/>
      </rPr>
      <t>Continuous</t>
    </r>
    <r>
      <rPr>
        <sz val="11"/>
        <color theme="1"/>
        <rFont val="Calibri"/>
        <family val="2"/>
        <scheme val="minor"/>
      </rPr>
      <t xml:space="preserve"> · Data: </t>
    </r>
    <r>
      <rPr>
        <b/>
        <sz val="11"/>
        <color theme="1"/>
        <rFont val="Calibri"/>
        <family val="2"/>
        <scheme val="minor"/>
      </rPr>
      <t>Integer/Decimal</t>
    </r>
  </si>
  <si>
    <t>Categoria ordinal derivada do h-index</t>
  </si>
  <si>
    <t>“Muito baixa → muito alta” (definir cortes)</t>
  </si>
  <si>
    <r>
      <t xml:space="preserve">Measure: </t>
    </r>
    <r>
      <rPr>
        <b/>
        <sz val="11"/>
        <color theme="1"/>
        <rFont val="Calibri"/>
        <family val="2"/>
        <scheme val="minor"/>
      </rPr>
      <t>Ordinal</t>
    </r>
    <r>
      <rPr>
        <sz val="11"/>
        <color theme="1"/>
        <rFont val="Calibri"/>
        <family val="2"/>
        <scheme val="minor"/>
      </rPr>
      <t xml:space="preserve"> · Data: 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 xml:space="preserve"> · Levels na ordem</t>
    </r>
  </si>
  <si>
    <t>Nº de artigos com ≥10 citações</t>
  </si>
  <si>
    <t>Produtividade científica</t>
  </si>
  <si>
    <t>Impacto agregado</t>
  </si>
  <si>
    <t>Padronização institucional</t>
  </si>
  <si>
    <t>Chave para junções com tabelas de IES/ICT</t>
  </si>
  <si>
    <t>Nome padronizado da instituição</t>
  </si>
  <si>
    <t>Padronização (CNPq/DI + limpeza)</t>
  </si>
  <si>
    <t>Evita duplicidades por variação de nome</t>
  </si>
  <si>
    <t>Texto/Numérico</t>
  </si>
  <si>
    <t>Faixa do IGC (quando aplicável)</t>
  </si>
  <si>
    <t>Pode conter “SC” (sem conceito)</t>
  </si>
  <si>
    <r>
      <t xml:space="preserve">Se numérico: Measure </t>
    </r>
    <r>
      <rPr>
        <b/>
        <sz val="11"/>
        <color theme="1"/>
        <rFont val="Calibri"/>
        <family val="2"/>
        <scheme val="minor"/>
      </rPr>
      <t>Ordinal</t>
    </r>
    <r>
      <rPr>
        <sz val="11"/>
        <color theme="1"/>
        <rFont val="Calibri"/>
        <family val="2"/>
        <scheme val="minor"/>
      </rPr>
      <t xml:space="preserve">; se string: </t>
    </r>
    <r>
      <rPr>
        <b/>
        <sz val="11"/>
        <color theme="1"/>
        <rFont val="Calibri"/>
        <family val="2"/>
        <scheme val="minor"/>
      </rPr>
      <t>Nominal Text</t>
    </r>
  </si>
  <si>
    <t>Numérico (0/1)</t>
  </si>
  <si>
    <t>Indicador se a instituição possui IGC</t>
  </si>
  <si>
    <r>
      <t xml:space="preserve">Derivado de </t>
    </r>
    <r>
      <rPr>
        <sz val="10"/>
        <color theme="1"/>
        <rFont val="Arial Unicode MS"/>
        <family val="2"/>
      </rPr>
      <t>igc_faixa</t>
    </r>
  </si>
  <si>
    <t>Para filtros de cobertura IGC</t>
  </si>
  <si>
    <r>
      <t xml:space="preserve">Measure: </t>
    </r>
    <r>
      <rPr>
        <b/>
        <sz val="11"/>
        <color theme="1"/>
        <rFont val="Calibri"/>
        <family val="2"/>
        <scheme val="minor"/>
      </rPr>
      <t>Nominal</t>
    </r>
    <r>
      <rPr>
        <sz val="11"/>
        <color theme="1"/>
        <rFont val="Calibri"/>
        <family val="2"/>
        <scheme val="minor"/>
      </rPr>
      <t xml:space="preserve"> · Data: </t>
    </r>
    <r>
      <rPr>
        <b/>
        <sz val="11"/>
        <color theme="1"/>
        <rFont val="Calibri"/>
        <family val="2"/>
        <scheme val="minor"/>
      </rPr>
      <t>Integer</t>
    </r>
    <r>
      <rPr>
        <sz val="11"/>
        <color theme="1"/>
        <rFont val="Calibri"/>
        <family val="2"/>
        <scheme val="minor"/>
      </rPr>
      <t xml:space="preserve"> · Levels: </t>
    </r>
    <r>
      <rPr>
        <i/>
        <sz val="11"/>
        <color theme="1"/>
        <rFont val="Calibri"/>
        <family val="2"/>
        <scheme val="minor"/>
      </rPr>
      <t>0=Não; 1=Sim</t>
    </r>
  </si>
  <si>
    <t>Categoria de IGC (ex.: Alto, Médio, Sem IGC)</t>
  </si>
  <si>
    <t>Classificação derivada</t>
  </si>
  <si>
    <t>Aproxima efeito de qualidade institucional</t>
  </si>
  <si>
    <r>
      <t xml:space="preserve">Measure: </t>
    </r>
    <r>
      <rPr>
        <b/>
        <sz val="11"/>
        <color theme="1"/>
        <rFont val="Calibri"/>
        <family val="2"/>
        <scheme val="minor"/>
      </rPr>
      <t>Ordinal</t>
    </r>
    <r>
      <rPr>
        <sz val="11"/>
        <color theme="1"/>
        <rFont val="Calibri"/>
        <family val="2"/>
        <scheme val="minor"/>
      </rPr>
      <t xml:space="preserve"> (se houver ordem) ou </t>
    </r>
    <r>
      <rPr>
        <b/>
        <sz val="11"/>
        <color theme="1"/>
        <rFont val="Calibri"/>
        <family val="2"/>
        <scheme val="minor"/>
      </rPr>
      <t>Nominal</t>
    </r>
  </si>
  <si>
    <t>Classe institucional (IES, IF, CEFET, Instituto de Pesquisa etc.)</t>
  </si>
  <si>
    <t>Comparações entre naturezas institucionais</t>
  </si>
  <si>
    <t>Tipo de IES/ICT (pública federal, privada etc.)</t>
  </si>
  <si>
    <t>Interações com IGC e região</t>
  </si>
  <si>
    <t>Marcador para IF/CEFET</t>
  </si>
  <si>
    <r>
      <t xml:space="preserve">Derivado de </t>
    </r>
    <r>
      <rPr>
        <sz val="10"/>
        <color theme="1"/>
        <rFont val="Arial Unicode MS"/>
        <family val="2"/>
      </rPr>
      <t>class_instituicao</t>
    </r>
  </si>
  <si>
    <t>Útil para análises específicas do segmento</t>
  </si>
  <si>
    <t>Categoria ampla (PÚBLICA/PRIVADA/NAO SE APLICA)</t>
  </si>
  <si>
    <t>Cruzamentos com financiamento</t>
  </si>
  <si>
    <t>Tipo administrativo detalhado (p. ex. Pública Federal, OS)</t>
  </si>
  <si>
    <t>Controla heterogeneidade interna</t>
  </si>
  <si>
    <t>Região geográfica (N, NE, CO, SE, S)</t>
  </si>
  <si>
    <t>Mapas e comparações regionais</t>
  </si>
  <si>
    <t>Unidade Federativa</t>
  </si>
  <si>
    <t>Georreferenciamento e estratos</t>
  </si>
  <si>
    <t>Nº de chamadas do PIBIC-EM em que o(a) pesquisador(a) aparece</t>
  </si>
  <si>
    <r>
      <t xml:space="preserve">Contagem sobre flags </t>
    </r>
    <r>
      <rPr>
        <sz val="10"/>
        <color theme="1"/>
        <rFont val="Arial Unicode MS"/>
        <family val="2"/>
      </rPr>
      <t>ch_YYYY</t>
    </r>
  </si>
  <si>
    <t>Medida de recorrência no Programa</t>
  </si>
  <si>
    <t>Participou na chamada 2014–2016</t>
  </si>
  <si>
    <t>Resultado final da chamada</t>
  </si>
  <si>
    <t>Dummies para painel longitudinal</t>
  </si>
  <si>
    <t>Participou na chamada 2016–2018</t>
  </si>
  <si>
    <t>Idem</t>
  </si>
  <si>
    <t>Participou na chamada 2018–2020</t>
  </si>
  <si>
    <r>
      <t xml:space="preserve">Measure: </t>
    </r>
    <r>
      <rPr>
        <b/>
        <sz val="11"/>
        <color theme="1"/>
        <rFont val="Calibri"/>
        <family val="2"/>
        <scheme val="minor"/>
      </rPr>
      <t>Nominal</t>
    </r>
    <r>
      <rPr>
        <sz val="11"/>
        <color theme="1"/>
        <rFont val="Calibri"/>
        <family val="2"/>
        <scheme val="minor"/>
      </rPr>
      <t xml:space="preserve"> · Data: </t>
    </r>
    <r>
      <rPr>
        <b/>
        <sz val="11"/>
        <color theme="1"/>
        <rFont val="Calibri"/>
        <family val="2"/>
        <scheme val="minor"/>
      </rPr>
      <t>Integer</t>
    </r>
  </si>
  <si>
    <t>Participou na chamada 2020–2021</t>
  </si>
  <si>
    <t>Participou na chamada 2022–2024</t>
  </si>
  <si>
    <t>Participou na chamada 2024–2027</t>
  </si>
  <si>
    <t>Identificador OpenAlex do autor</t>
  </si>
  <si>
    <t>OpenAlex (URI)</t>
  </si>
  <si>
    <t>Chave para reconsulta/replicação</t>
  </si>
  <si>
    <t>Lista de anos/identidades de chamadas em que o autor aparece</t>
  </si>
  <si>
    <t>Parse dos resultados finais</t>
  </si>
  <si>
    <t>Campo legível para referência</t>
  </si>
  <si>
    <t>Sequência de períodos efetivos (ex.: “2014-2016; 2016-2018” etc.)</t>
  </si>
  <si>
    <t>Extraído de cada edital</t>
  </si>
  <si>
    <t>Para leitura e auditoria</t>
  </si>
  <si>
    <t>Faixa contínua do 1º ao último ano de vigência (ex.: “2014-2021”)</t>
  </si>
  <si>
    <r>
      <t xml:space="preserve">Consolidado a partir de </t>
    </r>
    <r>
      <rPr>
        <sz val="10"/>
        <color theme="1"/>
        <rFont val="Arial Unicode MS"/>
        <family val="2"/>
      </rPr>
      <t>periodo_vigencia</t>
    </r>
  </si>
  <si>
    <t>Facilita visualização do intervalo total</t>
  </si>
  <si>
    <t>Total de anos cobertos entre primeiro e último período</t>
  </si>
  <si>
    <t>Cálculo (último-primeiro+? conforme regra)</t>
  </si>
  <si>
    <t>Indicador de extensão temporal</t>
  </si>
  <si>
    <t>Nome completo padronizado</t>
  </si>
  <si>
    <t>INEP (IGC) - E-MEC</t>
  </si>
  <si>
    <t>E-MEC</t>
  </si>
  <si>
    <r>
      <t xml:space="preserve">Para </t>
    </r>
    <r>
      <rPr>
        <b/>
        <sz val="11"/>
        <color theme="1"/>
        <rFont val="Calibri"/>
        <family val="2"/>
        <scheme val="minor"/>
      </rPr>
      <t>dummies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  <family val="2"/>
      </rPr>
      <t>ch_2014</t>
    </r>
    <r>
      <rPr>
        <sz val="11"/>
        <color theme="1"/>
        <rFont val="Calibri"/>
        <family val="2"/>
        <scheme val="minor"/>
      </rPr>
      <t xml:space="preserve"> … </t>
    </r>
    <r>
      <rPr>
        <sz val="10"/>
        <color theme="1"/>
        <rFont val="Arial Unicode MS"/>
        <family val="2"/>
      </rPr>
      <t>ch_2024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tem_igc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grupo_if_ceft</t>
    </r>
    <r>
      <rPr>
        <sz val="11"/>
        <color theme="1"/>
        <rFont val="Calibri"/>
        <family val="2"/>
        <scheme val="minor"/>
      </rPr>
      <t xml:space="preserve">): marcar como </t>
    </r>
    <r>
      <rPr>
        <b/>
        <sz val="11"/>
        <color theme="1"/>
        <rFont val="Calibri"/>
        <family val="2"/>
        <scheme val="minor"/>
      </rPr>
      <t>Nominal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Integer</t>
    </r>
    <r>
      <rPr>
        <sz val="11"/>
        <color theme="1"/>
        <rFont val="Calibri"/>
        <family val="2"/>
        <scheme val="minor"/>
      </rPr>
      <t xml:space="preserve">; se desejar rótulos, usar </t>
    </r>
    <r>
      <rPr>
        <i/>
        <sz val="11"/>
        <color theme="1"/>
        <rFont val="Calibri"/>
        <family val="2"/>
        <scheme val="minor"/>
      </rPr>
      <t>0=Não; 1=Sim</t>
    </r>
    <r>
      <rPr>
        <sz val="11"/>
        <color theme="1"/>
        <rFont val="Calibri"/>
        <family val="2"/>
        <scheme val="minor"/>
      </rPr>
      <t>.</t>
    </r>
  </si>
  <si>
    <r>
      <t xml:space="preserve">Para variáveis </t>
    </r>
    <r>
      <rPr>
        <b/>
        <sz val="11"/>
        <color theme="1"/>
        <rFont val="Calibri"/>
        <family val="2"/>
        <scheme val="minor"/>
      </rPr>
      <t>ordinais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  <family val="2"/>
      </rPr>
      <t>nivel_producao</t>
    </r>
    <r>
      <rPr>
        <sz val="11"/>
        <color theme="1"/>
        <rFont val="Calibri"/>
        <family val="2"/>
        <scheme val="minor"/>
      </rPr>
      <t xml:space="preserve">, possivelmente </t>
    </r>
    <r>
      <rPr>
        <sz val="10"/>
        <color theme="1"/>
        <rFont val="Arial Unicode MS"/>
        <family val="2"/>
      </rPr>
      <t>igc_faixa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Arial Unicode MS"/>
        <family val="2"/>
      </rPr>
      <t>igc_categoria</t>
    </r>
    <r>
      <rPr>
        <sz val="11"/>
        <color theme="1"/>
        <rFont val="Calibri"/>
        <family val="2"/>
        <scheme val="minor"/>
      </rPr>
      <t xml:space="preserve"> se houver hierarquia): marcar </t>
    </r>
    <r>
      <rPr>
        <b/>
        <sz val="11"/>
        <color theme="1"/>
        <rFont val="Calibri"/>
        <family val="2"/>
        <scheme val="minor"/>
      </rPr>
      <t>Ordinal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ordenar os níveis</t>
    </r>
    <r>
      <rPr>
        <sz val="11"/>
        <color theme="1"/>
        <rFont val="Calibri"/>
        <family val="2"/>
        <scheme val="minor"/>
      </rPr>
      <t xml:space="preserve"> na caixa de níveis.</t>
    </r>
  </si>
  <si>
    <r>
      <t>Variáveis textuais descritivas (</t>
    </r>
    <r>
      <rPr>
        <b/>
        <sz val="11"/>
        <color theme="1"/>
        <rFont val="Calibri"/>
        <family val="2"/>
        <scheme val="minor"/>
      </rPr>
      <t>nomes, áreas, instituição, UF, região</t>
    </r>
    <r>
      <rPr>
        <sz val="11"/>
        <color theme="1"/>
        <rFont val="Calibri"/>
        <family val="2"/>
        <scheme val="minor"/>
      </rPr>
      <t xml:space="preserve">) como </t>
    </r>
    <r>
      <rPr>
        <b/>
        <sz val="11"/>
        <color theme="1"/>
        <rFont val="Calibri"/>
        <family val="2"/>
        <scheme val="minor"/>
      </rPr>
      <t>Nominal (Text)</t>
    </r>
    <r>
      <rPr>
        <sz val="11"/>
        <color theme="1"/>
        <rFont val="Calibri"/>
        <family val="2"/>
        <scheme val="minor"/>
      </rPr>
      <t>.</t>
    </r>
  </si>
  <si>
    <r>
      <t>Métricas bibliométricas e contagens (</t>
    </r>
    <r>
      <rPr>
        <b/>
        <sz val="11"/>
        <color theme="1"/>
        <rFont val="Calibri"/>
        <family val="2"/>
        <scheme val="minor"/>
      </rPr>
      <t>h_index, i10_index, works_count, cited_by_count, …</t>
    </r>
    <r>
      <rPr>
        <sz val="11"/>
        <color theme="1"/>
        <rFont val="Calibri"/>
        <family val="2"/>
        <scheme val="minor"/>
      </rPr>
      <t xml:space="preserve">) como </t>
    </r>
    <r>
      <rPr>
        <b/>
        <sz val="11"/>
        <color theme="1"/>
        <rFont val="Calibri"/>
        <family val="2"/>
        <scheme val="minor"/>
      </rPr>
      <t>Continuous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</si>
</sst>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42"/>
  <sheetViews>
    <sheetView tabSelected="1" zoomScale="144" workbookViewId="0">
      <selection activeCell="B7" sqref="B7"/>
    </sheetView>
  </sheetViews>
  <sheetFormatPr baseColWidth="10" defaultColWidth="8.83203125" defaultRowHeight="15" x14ac:dyDescent="0.2"/>
  <cols>
    <col min="1" max="1" width="7.1640625" bestFit="1" customWidth="1"/>
    <col min="2" max="2" width="38.1640625" bestFit="1" customWidth="1"/>
    <col min="3" max="3" width="9" bestFit="1" customWidth="1"/>
    <col min="4" max="4" width="18.33203125" bestFit="1" customWidth="1"/>
    <col min="5" max="5" width="20.1640625" bestFit="1" customWidth="1"/>
    <col min="6" max="6" width="33.1640625" bestFit="1" customWidth="1"/>
    <col min="7" max="7" width="14.6640625" bestFit="1" customWidth="1"/>
    <col min="8" max="8" width="19.83203125" bestFit="1" customWidth="1"/>
    <col min="9" max="9" width="33.33203125" bestFit="1" customWidth="1"/>
    <col min="10" max="10" width="8.5" bestFit="1" customWidth="1"/>
    <col min="11" max="11" width="13.5" bestFit="1" customWidth="1"/>
    <col min="13" max="13" width="13.1640625" bestFit="1" customWidth="1"/>
    <col min="15" max="15" width="11" bestFit="1" customWidth="1"/>
    <col min="16" max="16" width="13.1640625" bestFit="1" customWidth="1"/>
    <col min="18" max="18" width="72.83203125" bestFit="1" customWidth="1"/>
    <col min="19" max="19" width="7.6640625" style="3" bestFit="1" customWidth="1"/>
    <col min="20" max="20" width="7.6640625" style="3" customWidth="1"/>
    <col min="21" max="21" width="11.33203125" bestFit="1" customWidth="1"/>
    <col min="22" max="22" width="19.1640625" bestFit="1" customWidth="1"/>
    <col min="23" max="23" width="15.33203125" bestFit="1" customWidth="1"/>
    <col min="24" max="24" width="11.33203125" bestFit="1" customWidth="1"/>
    <col min="25" max="25" width="18" bestFit="1" customWidth="1"/>
    <col min="26" max="26" width="25.5" bestFit="1" customWidth="1"/>
    <col min="27" max="27" width="13.6640625" bestFit="1" customWidth="1"/>
    <col min="28" max="28" width="10.33203125" bestFit="1" customWidth="1"/>
    <col min="29" max="29" width="22.1640625" bestFit="1" customWidth="1"/>
    <col min="36" max="36" width="29" bestFit="1" customWidth="1"/>
    <col min="37" max="37" width="112" bestFit="1" customWidth="1"/>
    <col min="38" max="38" width="57.83203125" bestFit="1" customWidth="1"/>
    <col min="39" max="39" width="19.33203125" bestFit="1" customWidth="1"/>
    <col min="40" max="40" width="12" bestFit="1" customWidth="1"/>
  </cols>
  <sheetData>
    <row r="1" spans="1:40" x14ac:dyDescent="0.2">
      <c r="A1" s="1" t="s">
        <v>17</v>
      </c>
      <c r="B1" s="1" t="s">
        <v>33</v>
      </c>
      <c r="C1" s="1" t="s">
        <v>1716</v>
      </c>
      <c r="D1" s="1" t="s">
        <v>1</v>
      </c>
      <c r="E1" s="1" t="s">
        <v>25</v>
      </c>
      <c r="F1" s="1" t="s">
        <v>26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24</v>
      </c>
      <c r="N1" s="1" t="s">
        <v>8</v>
      </c>
      <c r="O1" s="1" t="s">
        <v>9</v>
      </c>
      <c r="P1" s="1" t="s">
        <v>10</v>
      </c>
      <c r="Q1" s="1" t="s">
        <v>18</v>
      </c>
      <c r="R1" s="1" t="s">
        <v>34</v>
      </c>
      <c r="S1" s="2" t="s">
        <v>11</v>
      </c>
      <c r="T1" s="6" t="s">
        <v>1699</v>
      </c>
      <c r="U1" s="1" t="s">
        <v>22</v>
      </c>
      <c r="V1" s="1" t="s">
        <v>12</v>
      </c>
      <c r="W1" s="1" t="s">
        <v>20</v>
      </c>
      <c r="X1" s="1" t="s">
        <v>21</v>
      </c>
      <c r="Y1" s="1" t="s">
        <v>13</v>
      </c>
      <c r="Z1" s="1" t="s">
        <v>14</v>
      </c>
      <c r="AA1" s="1" t="s">
        <v>19</v>
      </c>
      <c r="AB1" s="1" t="s">
        <v>1698</v>
      </c>
      <c r="AC1" s="1" t="s">
        <v>23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0</v>
      </c>
      <c r="AK1" s="1" t="s">
        <v>15</v>
      </c>
      <c r="AL1" s="1" t="s">
        <v>16</v>
      </c>
      <c r="AM1" s="7" t="s">
        <v>1721</v>
      </c>
      <c r="AN1" s="7" t="s">
        <v>1720</v>
      </c>
    </row>
    <row r="2" spans="1:40" x14ac:dyDescent="0.2">
      <c r="A2">
        <v>1</v>
      </c>
      <c r="B2" t="s">
        <v>35</v>
      </c>
      <c r="C2" t="s">
        <v>1717</v>
      </c>
      <c r="D2" t="s">
        <v>37</v>
      </c>
      <c r="E2" t="s">
        <v>50</v>
      </c>
      <c r="F2" t="s">
        <v>51</v>
      </c>
      <c r="G2">
        <v>118</v>
      </c>
      <c r="H2">
        <v>25.461093252000001</v>
      </c>
      <c r="I2" t="s">
        <v>38</v>
      </c>
      <c r="J2">
        <v>97</v>
      </c>
      <c r="K2">
        <v>52.902649449999998</v>
      </c>
      <c r="L2">
        <v>23</v>
      </c>
      <c r="M2" t="s">
        <v>49</v>
      </c>
      <c r="N2">
        <v>49</v>
      </c>
      <c r="O2">
        <v>136</v>
      </c>
      <c r="P2">
        <v>1730</v>
      </c>
      <c r="Q2">
        <v>1</v>
      </c>
      <c r="R2" t="s">
        <v>39</v>
      </c>
      <c r="T2" s="3">
        <f>IF(OR(S2="Sem IGC", ISBLANK(S2)), 0, 1)</f>
        <v>0</v>
      </c>
      <c r="U2" t="s">
        <v>48</v>
      </c>
      <c r="V2" t="s">
        <v>40</v>
      </c>
      <c r="W2" t="s">
        <v>1719</v>
      </c>
      <c r="X2">
        <v>0</v>
      </c>
      <c r="Y2" t="s">
        <v>41</v>
      </c>
      <c r="Z2" t="s">
        <v>40</v>
      </c>
      <c r="AA2" t="s">
        <v>43</v>
      </c>
      <c r="AB2" t="s">
        <v>44</v>
      </c>
      <c r="AC2">
        <v>4</v>
      </c>
      <c r="AD2">
        <v>1</v>
      </c>
      <c r="AE2">
        <v>1</v>
      </c>
      <c r="AF2">
        <v>1</v>
      </c>
      <c r="AG2">
        <v>1</v>
      </c>
      <c r="AH2">
        <v>0</v>
      </c>
      <c r="AI2">
        <v>0</v>
      </c>
      <c r="AJ2" t="s">
        <v>36</v>
      </c>
      <c r="AK2" t="s">
        <v>45</v>
      </c>
      <c r="AL2" t="s">
        <v>46</v>
      </c>
      <c r="AM2" t="str">
        <f>LEFT(AL2,4) &amp; "-" &amp; RIGHT(AL2,4)</f>
        <v>2014-2021</v>
      </c>
      <c r="AN2">
        <f>VALUE(RIGHT(AL2,4)) - VALUE(LEFT(AL2,4))</f>
        <v>7</v>
      </c>
    </row>
    <row r="3" spans="1:40" x14ac:dyDescent="0.2">
      <c r="A3">
        <v>2</v>
      </c>
      <c r="B3" t="s">
        <v>52</v>
      </c>
      <c r="C3" t="s">
        <v>1717</v>
      </c>
      <c r="D3" t="s">
        <v>37</v>
      </c>
      <c r="E3" t="s">
        <v>50</v>
      </c>
      <c r="F3" t="s">
        <v>57</v>
      </c>
      <c r="G3">
        <v>88</v>
      </c>
      <c r="H3">
        <v>58.446628600000018</v>
      </c>
      <c r="I3" t="s">
        <v>54</v>
      </c>
      <c r="J3">
        <v>63</v>
      </c>
      <c r="K3">
        <v>32.570294649999987</v>
      </c>
      <c r="L3">
        <v>29</v>
      </c>
      <c r="M3" t="s">
        <v>49</v>
      </c>
      <c r="N3">
        <v>55</v>
      </c>
      <c r="O3">
        <v>106</v>
      </c>
      <c r="P3">
        <v>2965</v>
      </c>
      <c r="Q3">
        <v>1</v>
      </c>
      <c r="R3" t="s">
        <v>39</v>
      </c>
      <c r="T3" s="3">
        <f t="shared" ref="T3:T66" si="0">IF(OR(S3="Sem IGC", ISBLANK(S3)), 0, 1)</f>
        <v>0</v>
      </c>
      <c r="U3" t="s">
        <v>48</v>
      </c>
      <c r="V3" t="s">
        <v>40</v>
      </c>
      <c r="W3" t="s">
        <v>1719</v>
      </c>
      <c r="X3">
        <v>0</v>
      </c>
      <c r="Y3" t="s">
        <v>42</v>
      </c>
      <c r="Z3" t="s">
        <v>40</v>
      </c>
      <c r="AA3" t="s">
        <v>43</v>
      </c>
      <c r="AB3" t="s">
        <v>44</v>
      </c>
      <c r="AC3">
        <v>2</v>
      </c>
      <c r="AD3">
        <v>0</v>
      </c>
      <c r="AE3">
        <v>0</v>
      </c>
      <c r="AF3">
        <v>0</v>
      </c>
      <c r="AG3">
        <v>0</v>
      </c>
      <c r="AH3">
        <v>1</v>
      </c>
      <c r="AI3">
        <v>1</v>
      </c>
      <c r="AJ3" t="s">
        <v>53</v>
      </c>
      <c r="AK3" t="s">
        <v>55</v>
      </c>
      <c r="AL3" t="s">
        <v>56</v>
      </c>
      <c r="AM3" t="str">
        <f t="shared" ref="AM3:AM66" si="1">LEFT(AL3,4) &amp; "-" &amp; RIGHT(AL3,4)</f>
        <v>2022-2027</v>
      </c>
      <c r="AN3">
        <f t="shared" ref="AN3:AN66" si="2">VALUE(RIGHT(AL3,4)) - VALUE(LEFT(AL3,4))</f>
        <v>5</v>
      </c>
    </row>
    <row r="4" spans="1:40" x14ac:dyDescent="0.2">
      <c r="A4">
        <v>3</v>
      </c>
      <c r="B4" t="s">
        <v>58</v>
      </c>
      <c r="C4" t="s">
        <v>1718</v>
      </c>
      <c r="D4" t="s">
        <v>60</v>
      </c>
      <c r="E4" t="s">
        <v>68</v>
      </c>
      <c r="F4" t="s">
        <v>69</v>
      </c>
      <c r="G4">
        <v>38</v>
      </c>
      <c r="H4">
        <v>15.885418639999999</v>
      </c>
      <c r="I4" t="s">
        <v>61</v>
      </c>
      <c r="J4">
        <v>30</v>
      </c>
      <c r="K4">
        <v>14.6640418</v>
      </c>
      <c r="L4">
        <v>17</v>
      </c>
      <c r="M4" t="s">
        <v>67</v>
      </c>
      <c r="N4">
        <v>24</v>
      </c>
      <c r="O4">
        <v>50</v>
      </c>
      <c r="P4">
        <v>775</v>
      </c>
      <c r="Q4">
        <v>2</v>
      </c>
      <c r="R4" t="s">
        <v>62</v>
      </c>
      <c r="T4" s="3">
        <f t="shared" si="0"/>
        <v>0</v>
      </c>
      <c r="U4" t="s">
        <v>48</v>
      </c>
      <c r="V4" t="s">
        <v>40</v>
      </c>
      <c r="W4" t="s">
        <v>1719</v>
      </c>
      <c r="X4">
        <v>0</v>
      </c>
      <c r="Y4" t="s">
        <v>42</v>
      </c>
      <c r="Z4" t="s">
        <v>40</v>
      </c>
      <c r="AA4" t="s">
        <v>63</v>
      </c>
      <c r="AB4" t="s">
        <v>64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 t="s">
        <v>59</v>
      </c>
      <c r="AK4" t="s">
        <v>65</v>
      </c>
      <c r="AL4" t="s">
        <v>66</v>
      </c>
      <c r="AM4" t="str">
        <f t="shared" si="1"/>
        <v>2024-2027</v>
      </c>
      <c r="AN4">
        <f t="shared" si="2"/>
        <v>3</v>
      </c>
    </row>
    <row r="5" spans="1:40" x14ac:dyDescent="0.2">
      <c r="A5">
        <v>4</v>
      </c>
      <c r="B5" t="s">
        <v>70</v>
      </c>
      <c r="C5" t="s">
        <v>1717</v>
      </c>
      <c r="D5" t="s">
        <v>72</v>
      </c>
      <c r="E5" t="s">
        <v>50</v>
      </c>
      <c r="F5" t="s">
        <v>76</v>
      </c>
      <c r="G5">
        <v>117</v>
      </c>
      <c r="H5">
        <v>49.397801503999993</v>
      </c>
      <c r="I5" t="s">
        <v>73</v>
      </c>
      <c r="J5">
        <v>90</v>
      </c>
      <c r="K5">
        <v>30.893652388999989</v>
      </c>
      <c r="L5">
        <v>37</v>
      </c>
      <c r="M5" t="s">
        <v>49</v>
      </c>
      <c r="N5">
        <v>93</v>
      </c>
      <c r="O5">
        <v>147</v>
      </c>
      <c r="P5">
        <v>3977</v>
      </c>
      <c r="Q5">
        <v>2</v>
      </c>
      <c r="R5" t="s">
        <v>62</v>
      </c>
      <c r="T5" s="3">
        <f t="shared" si="0"/>
        <v>0</v>
      </c>
      <c r="U5" t="s">
        <v>48</v>
      </c>
      <c r="V5" t="s">
        <v>40</v>
      </c>
      <c r="W5" t="s">
        <v>1719</v>
      </c>
      <c r="X5">
        <v>0</v>
      </c>
      <c r="Y5" t="s">
        <v>42</v>
      </c>
      <c r="Z5" t="s">
        <v>40</v>
      </c>
      <c r="AA5" t="s">
        <v>63</v>
      </c>
      <c r="AB5" t="s">
        <v>64</v>
      </c>
      <c r="AC5">
        <v>2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 t="s">
        <v>71</v>
      </c>
      <c r="AK5" t="s">
        <v>74</v>
      </c>
      <c r="AL5" t="s">
        <v>75</v>
      </c>
      <c r="AM5" t="str">
        <f t="shared" si="1"/>
        <v>2014-2018</v>
      </c>
      <c r="AN5">
        <f t="shared" si="2"/>
        <v>4</v>
      </c>
    </row>
    <row r="6" spans="1:40" x14ac:dyDescent="0.2">
      <c r="A6">
        <v>5</v>
      </c>
      <c r="B6" t="s">
        <v>77</v>
      </c>
      <c r="C6" t="s">
        <v>1718</v>
      </c>
      <c r="D6" t="s">
        <v>79</v>
      </c>
      <c r="E6" t="s">
        <v>68</v>
      </c>
      <c r="F6" t="s">
        <v>84</v>
      </c>
      <c r="G6">
        <v>49</v>
      </c>
      <c r="H6">
        <v>30.391361459999999</v>
      </c>
      <c r="I6" t="s">
        <v>80</v>
      </c>
      <c r="J6">
        <v>33</v>
      </c>
      <c r="K6">
        <v>13.13403965</v>
      </c>
      <c r="L6">
        <v>14</v>
      </c>
      <c r="M6" t="s">
        <v>67</v>
      </c>
      <c r="N6">
        <v>17</v>
      </c>
      <c r="O6">
        <v>62</v>
      </c>
      <c r="P6">
        <v>678</v>
      </c>
      <c r="Q6">
        <v>3</v>
      </c>
      <c r="R6" t="s">
        <v>85</v>
      </c>
      <c r="T6" s="3">
        <f t="shared" si="0"/>
        <v>0</v>
      </c>
      <c r="U6" t="s">
        <v>48</v>
      </c>
      <c r="V6" t="s">
        <v>40</v>
      </c>
      <c r="W6" t="s">
        <v>1719</v>
      </c>
      <c r="X6">
        <v>0</v>
      </c>
      <c r="Y6" t="s">
        <v>42</v>
      </c>
      <c r="Z6" t="s">
        <v>40</v>
      </c>
      <c r="AA6" t="s">
        <v>43</v>
      </c>
      <c r="AB6" t="s">
        <v>81</v>
      </c>
      <c r="AC6">
        <v>2</v>
      </c>
      <c r="AD6">
        <v>1</v>
      </c>
      <c r="AE6">
        <v>1</v>
      </c>
      <c r="AF6">
        <v>0</v>
      </c>
      <c r="AG6">
        <v>0</v>
      </c>
      <c r="AH6">
        <v>0</v>
      </c>
      <c r="AI6">
        <v>0</v>
      </c>
      <c r="AJ6" t="s">
        <v>78</v>
      </c>
      <c r="AK6" t="s">
        <v>82</v>
      </c>
      <c r="AL6" t="s">
        <v>83</v>
      </c>
      <c r="AM6" t="str">
        <f t="shared" si="1"/>
        <v>2014-2016</v>
      </c>
      <c r="AN6">
        <f t="shared" si="2"/>
        <v>2</v>
      </c>
    </row>
    <row r="7" spans="1:40" x14ac:dyDescent="0.2">
      <c r="A7">
        <v>6</v>
      </c>
      <c r="B7" t="s">
        <v>86</v>
      </c>
      <c r="C7" t="s">
        <v>1717</v>
      </c>
      <c r="D7" t="s">
        <v>37</v>
      </c>
      <c r="E7" t="s">
        <v>98</v>
      </c>
      <c r="F7" t="s">
        <v>99</v>
      </c>
      <c r="G7">
        <v>14</v>
      </c>
      <c r="H7">
        <v>6.3962525000000001</v>
      </c>
      <c r="I7" t="s">
        <v>88</v>
      </c>
      <c r="J7">
        <v>12</v>
      </c>
      <c r="K7">
        <v>7.7765653899999991</v>
      </c>
      <c r="L7">
        <v>2</v>
      </c>
      <c r="M7" t="s">
        <v>97</v>
      </c>
      <c r="N7">
        <v>1</v>
      </c>
      <c r="O7">
        <v>17</v>
      </c>
      <c r="P7">
        <v>73</v>
      </c>
      <c r="Q7">
        <v>4</v>
      </c>
      <c r="R7" t="s">
        <v>89</v>
      </c>
      <c r="S7" s="3" t="s">
        <v>90</v>
      </c>
      <c r="T7" s="3">
        <f t="shared" si="0"/>
        <v>1</v>
      </c>
      <c r="U7" t="s">
        <v>96</v>
      </c>
      <c r="V7" t="s">
        <v>91</v>
      </c>
      <c r="W7" t="s">
        <v>95</v>
      </c>
      <c r="X7">
        <v>1</v>
      </c>
      <c r="Y7" t="s">
        <v>41</v>
      </c>
      <c r="Z7" t="s">
        <v>92</v>
      </c>
      <c r="AA7" t="s">
        <v>43</v>
      </c>
      <c r="AB7" t="s">
        <v>44</v>
      </c>
      <c r="AC7">
        <v>1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 t="s">
        <v>87</v>
      </c>
      <c r="AK7" t="s">
        <v>93</v>
      </c>
      <c r="AL7" t="s">
        <v>94</v>
      </c>
      <c r="AM7" t="str">
        <f t="shared" si="1"/>
        <v>2020-2021</v>
      </c>
      <c r="AN7">
        <f t="shared" si="2"/>
        <v>1</v>
      </c>
    </row>
    <row r="8" spans="1:40" x14ac:dyDescent="0.2">
      <c r="A8">
        <v>7</v>
      </c>
      <c r="B8" t="s">
        <v>100</v>
      </c>
      <c r="C8" t="s">
        <v>1717</v>
      </c>
      <c r="D8" t="s">
        <v>102</v>
      </c>
      <c r="E8" t="s">
        <v>104</v>
      </c>
      <c r="F8" t="s">
        <v>105</v>
      </c>
      <c r="G8">
        <v>32</v>
      </c>
      <c r="H8">
        <v>8.9205596299999996</v>
      </c>
      <c r="I8" t="s">
        <v>103</v>
      </c>
      <c r="J8">
        <v>18</v>
      </c>
      <c r="K8">
        <v>7.0763254300000007</v>
      </c>
      <c r="L8">
        <v>11</v>
      </c>
      <c r="M8" t="s">
        <v>67</v>
      </c>
      <c r="N8">
        <v>13</v>
      </c>
      <c r="O8">
        <v>51</v>
      </c>
      <c r="P8">
        <v>534</v>
      </c>
      <c r="Q8">
        <v>4</v>
      </c>
      <c r="R8" t="s">
        <v>89</v>
      </c>
      <c r="S8" s="3" t="s">
        <v>90</v>
      </c>
      <c r="T8" s="3">
        <f t="shared" si="0"/>
        <v>1</v>
      </c>
      <c r="U8" t="s">
        <v>96</v>
      </c>
      <c r="V8" t="s">
        <v>91</v>
      </c>
      <c r="W8" t="s">
        <v>95</v>
      </c>
      <c r="X8">
        <v>1</v>
      </c>
      <c r="Y8" t="s">
        <v>41</v>
      </c>
      <c r="Z8" t="s">
        <v>92</v>
      </c>
      <c r="AA8" t="s">
        <v>43</v>
      </c>
      <c r="AB8" t="s">
        <v>44</v>
      </c>
      <c r="AC8">
        <v>2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 t="s">
        <v>101</v>
      </c>
      <c r="AK8" t="s">
        <v>55</v>
      </c>
      <c r="AL8" t="s">
        <v>56</v>
      </c>
      <c r="AM8" t="str">
        <f t="shared" si="1"/>
        <v>2022-2027</v>
      </c>
      <c r="AN8">
        <f t="shared" si="2"/>
        <v>5</v>
      </c>
    </row>
    <row r="9" spans="1:40" x14ac:dyDescent="0.2">
      <c r="A9">
        <v>8</v>
      </c>
      <c r="B9" t="s">
        <v>106</v>
      </c>
      <c r="C9" t="s">
        <v>1717</v>
      </c>
      <c r="D9" t="s">
        <v>79</v>
      </c>
      <c r="E9" t="s">
        <v>68</v>
      </c>
      <c r="F9" t="s">
        <v>111</v>
      </c>
      <c r="G9">
        <v>80</v>
      </c>
      <c r="H9">
        <v>44.816679649999998</v>
      </c>
      <c r="I9" t="s">
        <v>108</v>
      </c>
      <c r="J9">
        <v>64</v>
      </c>
      <c r="K9">
        <v>18.19880954100001</v>
      </c>
      <c r="L9">
        <v>22</v>
      </c>
      <c r="M9" t="s">
        <v>49</v>
      </c>
      <c r="N9">
        <v>39</v>
      </c>
      <c r="O9">
        <v>104</v>
      </c>
      <c r="P9">
        <v>1543</v>
      </c>
      <c r="Q9">
        <v>4</v>
      </c>
      <c r="R9" t="s">
        <v>89</v>
      </c>
      <c r="S9" s="3" t="s">
        <v>90</v>
      </c>
      <c r="T9" s="3">
        <f t="shared" si="0"/>
        <v>1</v>
      </c>
      <c r="U9" t="s">
        <v>96</v>
      </c>
      <c r="V9" t="s">
        <v>91</v>
      </c>
      <c r="W9" t="s">
        <v>95</v>
      </c>
      <c r="X9">
        <v>1</v>
      </c>
      <c r="Y9" t="s">
        <v>41</v>
      </c>
      <c r="Z9" t="s">
        <v>92</v>
      </c>
      <c r="AA9" t="s">
        <v>43</v>
      </c>
      <c r="AB9" t="s">
        <v>44</v>
      </c>
      <c r="AC9">
        <v>3</v>
      </c>
      <c r="AD9">
        <v>1</v>
      </c>
      <c r="AE9">
        <v>1</v>
      </c>
      <c r="AF9">
        <v>1</v>
      </c>
      <c r="AG9">
        <v>0</v>
      </c>
      <c r="AH9">
        <v>0</v>
      </c>
      <c r="AI9">
        <v>0</v>
      </c>
      <c r="AJ9" t="s">
        <v>107</v>
      </c>
      <c r="AK9" t="s">
        <v>109</v>
      </c>
      <c r="AL9" t="s">
        <v>110</v>
      </c>
      <c r="AM9" t="str">
        <f t="shared" si="1"/>
        <v>2014-2020</v>
      </c>
      <c r="AN9">
        <f t="shared" si="2"/>
        <v>6</v>
      </c>
    </row>
    <row r="10" spans="1:40" x14ac:dyDescent="0.2">
      <c r="A10">
        <v>9</v>
      </c>
      <c r="B10" t="s">
        <v>112</v>
      </c>
      <c r="C10" t="s">
        <v>1717</v>
      </c>
      <c r="D10" t="s">
        <v>114</v>
      </c>
      <c r="E10" t="s">
        <v>50</v>
      </c>
      <c r="F10" t="s">
        <v>120</v>
      </c>
      <c r="G10">
        <v>20</v>
      </c>
      <c r="H10">
        <v>8.2255015199999999</v>
      </c>
      <c r="I10" t="s">
        <v>115</v>
      </c>
      <c r="J10">
        <v>12</v>
      </c>
      <c r="K10">
        <v>0.62301256999999999</v>
      </c>
      <c r="L10">
        <v>10</v>
      </c>
      <c r="M10" t="s">
        <v>119</v>
      </c>
      <c r="N10">
        <v>11</v>
      </c>
      <c r="O10">
        <v>28</v>
      </c>
      <c r="P10">
        <v>511</v>
      </c>
      <c r="Q10">
        <v>5</v>
      </c>
      <c r="R10" t="s">
        <v>116</v>
      </c>
      <c r="S10" s="3" t="s">
        <v>117</v>
      </c>
      <c r="T10" s="3">
        <f t="shared" si="0"/>
        <v>1</v>
      </c>
      <c r="U10" t="s">
        <v>96</v>
      </c>
      <c r="V10" t="s">
        <v>91</v>
      </c>
      <c r="W10" t="s">
        <v>95</v>
      </c>
      <c r="X10">
        <v>1</v>
      </c>
      <c r="Y10" t="s">
        <v>41</v>
      </c>
      <c r="Z10" t="s">
        <v>92</v>
      </c>
      <c r="AA10" t="s">
        <v>43</v>
      </c>
      <c r="AB10" t="s">
        <v>118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 t="s">
        <v>113</v>
      </c>
      <c r="AK10" t="s">
        <v>93</v>
      </c>
      <c r="AL10" t="s">
        <v>94</v>
      </c>
      <c r="AM10" t="str">
        <f t="shared" si="1"/>
        <v>2020-2021</v>
      </c>
      <c r="AN10">
        <f t="shared" si="2"/>
        <v>1</v>
      </c>
    </row>
    <row r="11" spans="1:40" x14ac:dyDescent="0.2">
      <c r="A11">
        <v>10</v>
      </c>
      <c r="B11" t="s">
        <v>121</v>
      </c>
      <c r="C11" t="s">
        <v>1717</v>
      </c>
      <c r="D11" t="s">
        <v>123</v>
      </c>
      <c r="E11" t="s">
        <v>68</v>
      </c>
      <c r="F11" t="s">
        <v>127</v>
      </c>
      <c r="G11">
        <v>5</v>
      </c>
      <c r="H11">
        <v>1.6606674100000001</v>
      </c>
      <c r="I11" t="s">
        <v>124</v>
      </c>
      <c r="J11">
        <v>4</v>
      </c>
      <c r="K11">
        <v>1.4955719700000001</v>
      </c>
      <c r="L11">
        <v>3</v>
      </c>
      <c r="M11" t="s">
        <v>97</v>
      </c>
      <c r="N11">
        <v>0</v>
      </c>
      <c r="O11">
        <v>6</v>
      </c>
      <c r="P11">
        <v>13</v>
      </c>
      <c r="Q11">
        <v>5</v>
      </c>
      <c r="R11" t="s">
        <v>116</v>
      </c>
      <c r="S11" s="3" t="s">
        <v>117</v>
      </c>
      <c r="T11" s="3">
        <f t="shared" si="0"/>
        <v>1</v>
      </c>
      <c r="U11" t="s">
        <v>96</v>
      </c>
      <c r="V11" t="s">
        <v>91</v>
      </c>
      <c r="W11" t="s">
        <v>95</v>
      </c>
      <c r="X11">
        <v>1</v>
      </c>
      <c r="Y11" t="s">
        <v>41</v>
      </c>
      <c r="Z11" t="s">
        <v>92</v>
      </c>
      <c r="AA11" t="s">
        <v>43</v>
      </c>
      <c r="AB11" t="s">
        <v>118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 t="s">
        <v>122</v>
      </c>
      <c r="AK11" t="s">
        <v>125</v>
      </c>
      <c r="AL11" t="s">
        <v>126</v>
      </c>
      <c r="AM11" t="str">
        <f t="shared" si="1"/>
        <v>2022-2024</v>
      </c>
      <c r="AN11">
        <f t="shared" si="2"/>
        <v>2</v>
      </c>
    </row>
    <row r="12" spans="1:40" x14ac:dyDescent="0.2">
      <c r="A12">
        <v>11</v>
      </c>
      <c r="B12" t="s">
        <v>128</v>
      </c>
      <c r="C12" t="s">
        <v>1718</v>
      </c>
      <c r="D12" t="s">
        <v>72</v>
      </c>
      <c r="E12" t="s">
        <v>68</v>
      </c>
      <c r="F12" t="s">
        <v>133</v>
      </c>
      <c r="G12">
        <v>3</v>
      </c>
      <c r="H12">
        <v>0.65025427000000002</v>
      </c>
      <c r="I12" t="s">
        <v>130</v>
      </c>
      <c r="J12">
        <v>1</v>
      </c>
      <c r="K12">
        <v>0.76444732999999998</v>
      </c>
      <c r="L12">
        <v>2</v>
      </c>
      <c r="M12" t="s">
        <v>97</v>
      </c>
      <c r="N12">
        <v>2</v>
      </c>
      <c r="O12">
        <v>3</v>
      </c>
      <c r="P12">
        <v>94</v>
      </c>
      <c r="Q12">
        <v>5</v>
      </c>
      <c r="R12" t="s">
        <v>116</v>
      </c>
      <c r="S12" s="3" t="s">
        <v>117</v>
      </c>
      <c r="T12" s="3">
        <f t="shared" si="0"/>
        <v>1</v>
      </c>
      <c r="U12" t="s">
        <v>96</v>
      </c>
      <c r="V12" t="s">
        <v>91</v>
      </c>
      <c r="W12" t="s">
        <v>95</v>
      </c>
      <c r="X12">
        <v>1</v>
      </c>
      <c r="Y12" t="s">
        <v>41</v>
      </c>
      <c r="Z12" t="s">
        <v>92</v>
      </c>
      <c r="AA12" t="s">
        <v>43</v>
      </c>
      <c r="AB12" t="s">
        <v>118</v>
      </c>
      <c r="AC12">
        <v>3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0</v>
      </c>
      <c r="AJ12" t="s">
        <v>129</v>
      </c>
      <c r="AK12" t="s">
        <v>131</v>
      </c>
      <c r="AL12" t="s">
        <v>132</v>
      </c>
      <c r="AM12" t="str">
        <f t="shared" si="1"/>
        <v>2016-2021</v>
      </c>
      <c r="AN12">
        <f t="shared" si="2"/>
        <v>5</v>
      </c>
    </row>
    <row r="13" spans="1:40" x14ac:dyDescent="0.2">
      <c r="A13">
        <v>12</v>
      </c>
      <c r="B13" t="s">
        <v>134</v>
      </c>
      <c r="C13" t="s">
        <v>1717</v>
      </c>
      <c r="D13" t="s">
        <v>123</v>
      </c>
      <c r="E13" t="s">
        <v>98</v>
      </c>
      <c r="F13" t="s">
        <v>99</v>
      </c>
      <c r="G13">
        <v>3</v>
      </c>
      <c r="H13">
        <v>1.3606913700000001</v>
      </c>
      <c r="I13" t="s">
        <v>88</v>
      </c>
      <c r="J13">
        <v>2</v>
      </c>
      <c r="K13">
        <v>1.01705135</v>
      </c>
      <c r="L13">
        <v>1</v>
      </c>
      <c r="M13" t="s">
        <v>137</v>
      </c>
      <c r="N13">
        <v>0</v>
      </c>
      <c r="O13">
        <v>4</v>
      </c>
      <c r="P13">
        <v>1</v>
      </c>
      <c r="Q13">
        <v>5</v>
      </c>
      <c r="R13" t="s">
        <v>116</v>
      </c>
      <c r="S13" s="3" t="s">
        <v>117</v>
      </c>
      <c r="T13" s="3">
        <f t="shared" si="0"/>
        <v>1</v>
      </c>
      <c r="U13" t="s">
        <v>96</v>
      </c>
      <c r="V13" t="s">
        <v>91</v>
      </c>
      <c r="W13" t="s">
        <v>95</v>
      </c>
      <c r="X13">
        <v>1</v>
      </c>
      <c r="Y13" t="s">
        <v>41</v>
      </c>
      <c r="Z13" t="s">
        <v>92</v>
      </c>
      <c r="AA13" t="s">
        <v>43</v>
      </c>
      <c r="AB13" t="s">
        <v>118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 t="s">
        <v>135</v>
      </c>
      <c r="AK13" t="s">
        <v>65</v>
      </c>
      <c r="AL13" t="s">
        <v>66</v>
      </c>
      <c r="AM13" t="str">
        <f t="shared" si="1"/>
        <v>2024-2027</v>
      </c>
      <c r="AN13">
        <f t="shared" si="2"/>
        <v>3</v>
      </c>
    </row>
    <row r="14" spans="1:40" x14ac:dyDescent="0.2">
      <c r="A14">
        <v>13</v>
      </c>
      <c r="B14" t="s">
        <v>138</v>
      </c>
      <c r="C14" t="s">
        <v>1717</v>
      </c>
      <c r="D14" t="s">
        <v>60</v>
      </c>
      <c r="E14" t="s">
        <v>150</v>
      </c>
      <c r="F14" t="s">
        <v>151</v>
      </c>
      <c r="G14">
        <v>14</v>
      </c>
      <c r="H14">
        <v>9.4849285400000003</v>
      </c>
      <c r="I14" t="s">
        <v>140</v>
      </c>
      <c r="J14">
        <v>7</v>
      </c>
      <c r="K14">
        <v>2.7199445249999998</v>
      </c>
      <c r="L14">
        <v>4</v>
      </c>
      <c r="M14" t="s">
        <v>97</v>
      </c>
      <c r="N14">
        <v>3</v>
      </c>
      <c r="O14">
        <v>14</v>
      </c>
      <c r="P14">
        <v>115</v>
      </c>
      <c r="Q14">
        <v>6</v>
      </c>
      <c r="R14" t="s">
        <v>152</v>
      </c>
      <c r="S14" s="3" t="s">
        <v>141</v>
      </c>
      <c r="T14" s="3">
        <f t="shared" si="0"/>
        <v>1</v>
      </c>
      <c r="U14" t="s">
        <v>149</v>
      </c>
      <c r="V14" t="s">
        <v>142</v>
      </c>
      <c r="W14" t="s">
        <v>148</v>
      </c>
      <c r="X14">
        <v>0</v>
      </c>
      <c r="Y14" t="s">
        <v>143</v>
      </c>
      <c r="Z14" t="s">
        <v>144</v>
      </c>
      <c r="AA14" t="s">
        <v>63</v>
      </c>
      <c r="AB14" t="s">
        <v>145</v>
      </c>
      <c r="AC14">
        <v>4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1</v>
      </c>
      <c r="AJ14" t="s">
        <v>139</v>
      </c>
      <c r="AK14" t="s">
        <v>146</v>
      </c>
      <c r="AL14" t="s">
        <v>147</v>
      </c>
      <c r="AM14" t="str">
        <f t="shared" si="1"/>
        <v>2018-2027</v>
      </c>
      <c r="AN14">
        <f t="shared" si="2"/>
        <v>9</v>
      </c>
    </row>
    <row r="15" spans="1:40" x14ac:dyDescent="0.2">
      <c r="A15">
        <v>14</v>
      </c>
      <c r="B15" t="s">
        <v>153</v>
      </c>
      <c r="C15" t="s">
        <v>1717</v>
      </c>
      <c r="D15" t="s">
        <v>79</v>
      </c>
      <c r="E15" t="s">
        <v>68</v>
      </c>
      <c r="F15" t="s">
        <v>158</v>
      </c>
      <c r="G15">
        <v>359</v>
      </c>
      <c r="H15">
        <v>218.97184107000001</v>
      </c>
      <c r="I15" t="s">
        <v>155</v>
      </c>
      <c r="J15">
        <v>348</v>
      </c>
      <c r="K15">
        <v>168.3800000200001</v>
      </c>
      <c r="L15">
        <v>26</v>
      </c>
      <c r="M15" t="s">
        <v>49</v>
      </c>
      <c r="N15">
        <v>71</v>
      </c>
      <c r="O15">
        <v>457</v>
      </c>
      <c r="P15">
        <v>2802</v>
      </c>
      <c r="Q15">
        <v>7</v>
      </c>
      <c r="R15" t="s">
        <v>159</v>
      </c>
      <c r="S15" s="3">
        <v>4</v>
      </c>
      <c r="T15" s="3">
        <f t="shared" si="0"/>
        <v>1</v>
      </c>
      <c r="U15" t="s">
        <v>96</v>
      </c>
      <c r="V15" t="s">
        <v>142</v>
      </c>
      <c r="W15" t="s">
        <v>148</v>
      </c>
      <c r="X15">
        <v>0</v>
      </c>
      <c r="Y15" t="s">
        <v>143</v>
      </c>
      <c r="Z15" t="s">
        <v>144</v>
      </c>
      <c r="AA15" t="s">
        <v>43</v>
      </c>
      <c r="AB15" t="s">
        <v>81</v>
      </c>
      <c r="AC15">
        <v>2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0</v>
      </c>
      <c r="AJ15" t="s">
        <v>154</v>
      </c>
      <c r="AK15" t="s">
        <v>156</v>
      </c>
      <c r="AL15" t="s">
        <v>157</v>
      </c>
      <c r="AM15" t="str">
        <f t="shared" si="1"/>
        <v>2016-2020</v>
      </c>
      <c r="AN15">
        <f t="shared" si="2"/>
        <v>4</v>
      </c>
    </row>
    <row r="16" spans="1:40" x14ac:dyDescent="0.2">
      <c r="A16">
        <v>15</v>
      </c>
      <c r="B16" t="s">
        <v>160</v>
      </c>
      <c r="C16" t="s">
        <v>1718</v>
      </c>
      <c r="D16" t="s">
        <v>60</v>
      </c>
      <c r="E16" t="s">
        <v>150</v>
      </c>
      <c r="F16" t="s">
        <v>151</v>
      </c>
      <c r="G16">
        <v>67</v>
      </c>
      <c r="H16">
        <v>45.475705769999998</v>
      </c>
      <c r="I16" t="s">
        <v>140</v>
      </c>
      <c r="J16">
        <v>35</v>
      </c>
      <c r="K16">
        <v>7.0064382729999997</v>
      </c>
      <c r="L16">
        <v>13</v>
      </c>
      <c r="M16" t="s">
        <v>67</v>
      </c>
      <c r="N16">
        <v>15</v>
      </c>
      <c r="O16">
        <v>74</v>
      </c>
      <c r="P16">
        <v>424</v>
      </c>
      <c r="Q16">
        <v>8</v>
      </c>
      <c r="R16" t="s">
        <v>163</v>
      </c>
      <c r="S16" s="3" t="s">
        <v>90</v>
      </c>
      <c r="T16" s="3">
        <f t="shared" si="0"/>
        <v>1</v>
      </c>
      <c r="U16" t="s">
        <v>96</v>
      </c>
      <c r="V16" t="s">
        <v>142</v>
      </c>
      <c r="W16" t="s">
        <v>162</v>
      </c>
      <c r="X16">
        <v>0</v>
      </c>
      <c r="Y16" t="s">
        <v>41</v>
      </c>
      <c r="Z16" t="s">
        <v>167</v>
      </c>
      <c r="AA16" t="s">
        <v>43</v>
      </c>
      <c r="AB16" t="s">
        <v>81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 t="s">
        <v>161</v>
      </c>
      <c r="AK16" t="s">
        <v>65</v>
      </c>
      <c r="AL16" t="s">
        <v>66</v>
      </c>
      <c r="AM16" t="str">
        <f t="shared" si="1"/>
        <v>2024-2027</v>
      </c>
      <c r="AN16">
        <f t="shared" si="2"/>
        <v>3</v>
      </c>
    </row>
    <row r="17" spans="1:40" x14ac:dyDescent="0.2">
      <c r="A17">
        <v>16</v>
      </c>
      <c r="B17" t="s">
        <v>164</v>
      </c>
      <c r="C17" t="s">
        <v>1718</v>
      </c>
      <c r="D17" t="s">
        <v>60</v>
      </c>
      <c r="E17" t="s">
        <v>98</v>
      </c>
      <c r="F17" t="s">
        <v>99</v>
      </c>
      <c r="G17">
        <v>13</v>
      </c>
      <c r="H17">
        <v>4.5879319600000006</v>
      </c>
      <c r="I17" t="s">
        <v>88</v>
      </c>
      <c r="J17">
        <v>9</v>
      </c>
      <c r="K17">
        <v>4.18928645</v>
      </c>
      <c r="L17">
        <v>7</v>
      </c>
      <c r="M17" t="s">
        <v>119</v>
      </c>
      <c r="N17">
        <v>7</v>
      </c>
      <c r="O17">
        <v>30</v>
      </c>
      <c r="P17">
        <v>329</v>
      </c>
      <c r="Q17">
        <v>9</v>
      </c>
      <c r="R17" t="s">
        <v>166</v>
      </c>
      <c r="S17" s="3" t="s">
        <v>141</v>
      </c>
      <c r="T17" s="3">
        <f t="shared" si="0"/>
        <v>1</v>
      </c>
      <c r="U17" t="s">
        <v>149</v>
      </c>
      <c r="V17" t="s">
        <v>142</v>
      </c>
      <c r="W17" t="s">
        <v>162</v>
      </c>
      <c r="X17">
        <v>0</v>
      </c>
      <c r="Y17" t="s">
        <v>41</v>
      </c>
      <c r="Z17" t="s">
        <v>167</v>
      </c>
      <c r="AA17" t="s">
        <v>43</v>
      </c>
      <c r="AB17" t="s">
        <v>81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 t="s">
        <v>165</v>
      </c>
      <c r="AK17" t="s">
        <v>55</v>
      </c>
      <c r="AL17" t="s">
        <v>56</v>
      </c>
      <c r="AM17" t="str">
        <f t="shared" si="1"/>
        <v>2022-2027</v>
      </c>
      <c r="AN17">
        <f t="shared" si="2"/>
        <v>5</v>
      </c>
    </row>
    <row r="18" spans="1:40" x14ac:dyDescent="0.2">
      <c r="A18">
        <v>17</v>
      </c>
      <c r="B18" t="s">
        <v>168</v>
      </c>
      <c r="C18" t="s">
        <v>1717</v>
      </c>
      <c r="D18" t="s">
        <v>37</v>
      </c>
      <c r="E18" t="s">
        <v>98</v>
      </c>
      <c r="F18" t="s">
        <v>99</v>
      </c>
      <c r="G18">
        <v>2</v>
      </c>
      <c r="H18">
        <v>1.3642993800000001</v>
      </c>
      <c r="I18" t="s">
        <v>88</v>
      </c>
      <c r="J18">
        <v>3</v>
      </c>
      <c r="K18">
        <v>1.3216454399999999</v>
      </c>
      <c r="L18">
        <v>1</v>
      </c>
      <c r="M18" t="s">
        <v>137</v>
      </c>
      <c r="N18">
        <v>0</v>
      </c>
      <c r="O18">
        <v>6</v>
      </c>
      <c r="P18">
        <v>2</v>
      </c>
      <c r="Q18">
        <v>9</v>
      </c>
      <c r="R18" t="s">
        <v>166</v>
      </c>
      <c r="S18" s="3" t="s">
        <v>141</v>
      </c>
      <c r="T18" s="3">
        <f t="shared" si="0"/>
        <v>1</v>
      </c>
      <c r="U18" t="s">
        <v>149</v>
      </c>
      <c r="V18" t="s">
        <v>142</v>
      </c>
      <c r="W18" t="s">
        <v>162</v>
      </c>
      <c r="X18">
        <v>0</v>
      </c>
      <c r="Y18" t="s">
        <v>41</v>
      </c>
      <c r="Z18" t="s">
        <v>167</v>
      </c>
      <c r="AA18" t="s">
        <v>43</v>
      </c>
      <c r="AB18" t="s">
        <v>81</v>
      </c>
      <c r="AC18">
        <v>2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 t="s">
        <v>169</v>
      </c>
      <c r="AK18" t="s">
        <v>82</v>
      </c>
      <c r="AL18" t="s">
        <v>83</v>
      </c>
      <c r="AM18" t="str">
        <f t="shared" si="1"/>
        <v>2014-2016</v>
      </c>
      <c r="AN18">
        <f t="shared" si="2"/>
        <v>2</v>
      </c>
    </row>
    <row r="19" spans="1:40" x14ac:dyDescent="0.2">
      <c r="A19">
        <v>18</v>
      </c>
      <c r="B19" t="s">
        <v>170</v>
      </c>
      <c r="C19" t="s">
        <v>1717</v>
      </c>
      <c r="D19" t="s">
        <v>72</v>
      </c>
      <c r="E19" t="s">
        <v>173</v>
      </c>
      <c r="F19" t="s">
        <v>174</v>
      </c>
      <c r="G19">
        <v>4</v>
      </c>
      <c r="H19">
        <v>2.00440219</v>
      </c>
      <c r="I19" t="s">
        <v>172</v>
      </c>
      <c r="J19">
        <v>3</v>
      </c>
      <c r="K19">
        <v>1.3770699799999999</v>
      </c>
      <c r="L19">
        <v>1</v>
      </c>
      <c r="M19" t="s">
        <v>137</v>
      </c>
      <c r="N19">
        <v>1</v>
      </c>
      <c r="O19">
        <v>10</v>
      </c>
      <c r="P19">
        <v>29</v>
      </c>
      <c r="Q19">
        <v>9</v>
      </c>
      <c r="R19" t="s">
        <v>166</v>
      </c>
      <c r="S19" s="3" t="s">
        <v>141</v>
      </c>
      <c r="T19" s="3">
        <f t="shared" si="0"/>
        <v>1</v>
      </c>
      <c r="U19" t="s">
        <v>149</v>
      </c>
      <c r="V19" t="s">
        <v>142</v>
      </c>
      <c r="W19" t="s">
        <v>162</v>
      </c>
      <c r="X19">
        <v>0</v>
      </c>
      <c r="Y19" t="s">
        <v>41</v>
      </c>
      <c r="Z19" t="s">
        <v>167</v>
      </c>
      <c r="AA19" t="s">
        <v>43</v>
      </c>
      <c r="AB19" t="s">
        <v>81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 t="s">
        <v>171</v>
      </c>
      <c r="AK19" t="s">
        <v>93</v>
      </c>
      <c r="AL19" t="s">
        <v>94</v>
      </c>
      <c r="AM19" t="str">
        <f t="shared" si="1"/>
        <v>2020-2021</v>
      </c>
      <c r="AN19">
        <f t="shared" si="2"/>
        <v>1</v>
      </c>
    </row>
    <row r="20" spans="1:40" x14ac:dyDescent="0.2">
      <c r="A20">
        <v>19</v>
      </c>
      <c r="B20" t="s">
        <v>175</v>
      </c>
      <c r="C20" t="s">
        <v>1718</v>
      </c>
      <c r="D20" t="s">
        <v>72</v>
      </c>
      <c r="E20" t="s">
        <v>173</v>
      </c>
      <c r="F20" t="s">
        <v>174</v>
      </c>
      <c r="G20">
        <v>2</v>
      </c>
      <c r="H20">
        <v>0.75494258999999997</v>
      </c>
      <c r="I20" t="s">
        <v>172</v>
      </c>
      <c r="J20">
        <v>2</v>
      </c>
      <c r="K20">
        <v>0.84598529</v>
      </c>
      <c r="L20">
        <v>0</v>
      </c>
      <c r="M20" t="s">
        <v>137</v>
      </c>
      <c r="N20">
        <v>0</v>
      </c>
      <c r="O20">
        <v>2</v>
      </c>
      <c r="P20">
        <v>0</v>
      </c>
      <c r="Q20">
        <v>10</v>
      </c>
      <c r="R20" t="s">
        <v>177</v>
      </c>
      <c r="S20" s="3" t="s">
        <v>90</v>
      </c>
      <c r="T20" s="3">
        <f t="shared" si="0"/>
        <v>1</v>
      </c>
      <c r="U20" t="s">
        <v>96</v>
      </c>
      <c r="V20" t="s">
        <v>142</v>
      </c>
      <c r="W20" t="s">
        <v>148</v>
      </c>
      <c r="X20">
        <v>0</v>
      </c>
      <c r="Y20" t="s">
        <v>41</v>
      </c>
      <c r="Z20" t="s">
        <v>144</v>
      </c>
      <c r="AA20" t="s">
        <v>43</v>
      </c>
      <c r="AB20" t="s">
        <v>81</v>
      </c>
      <c r="AC20">
        <v>2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0</v>
      </c>
      <c r="AJ20" t="s">
        <v>176</v>
      </c>
      <c r="AK20" t="s">
        <v>156</v>
      </c>
      <c r="AL20" t="s">
        <v>157</v>
      </c>
      <c r="AM20" t="str">
        <f t="shared" si="1"/>
        <v>2016-2020</v>
      </c>
      <c r="AN20">
        <f t="shared" si="2"/>
        <v>4</v>
      </c>
    </row>
    <row r="21" spans="1:40" x14ac:dyDescent="0.2">
      <c r="A21">
        <v>20</v>
      </c>
      <c r="B21" t="s">
        <v>178</v>
      </c>
      <c r="C21" t="s">
        <v>1717</v>
      </c>
      <c r="D21" t="s">
        <v>72</v>
      </c>
      <c r="E21" t="s">
        <v>98</v>
      </c>
      <c r="F21" t="s">
        <v>99</v>
      </c>
      <c r="G21">
        <v>5</v>
      </c>
      <c r="H21">
        <v>1.5634766</v>
      </c>
      <c r="I21" t="s">
        <v>88</v>
      </c>
      <c r="J21">
        <v>3</v>
      </c>
      <c r="K21">
        <v>1.44297597</v>
      </c>
      <c r="L21">
        <v>1</v>
      </c>
      <c r="M21" t="s">
        <v>137</v>
      </c>
      <c r="N21">
        <v>0</v>
      </c>
      <c r="O21">
        <v>8</v>
      </c>
      <c r="P21">
        <v>3</v>
      </c>
      <c r="Q21">
        <v>11</v>
      </c>
      <c r="R21" t="s">
        <v>180</v>
      </c>
      <c r="S21" s="3" t="s">
        <v>90</v>
      </c>
      <c r="T21" s="3">
        <f t="shared" si="0"/>
        <v>1</v>
      </c>
      <c r="U21" t="s">
        <v>96</v>
      </c>
      <c r="V21" t="s">
        <v>142</v>
      </c>
      <c r="W21" t="s">
        <v>148</v>
      </c>
      <c r="X21">
        <v>0</v>
      </c>
      <c r="Y21" t="s">
        <v>143</v>
      </c>
      <c r="Z21" t="s">
        <v>144</v>
      </c>
      <c r="AA21" t="s">
        <v>63</v>
      </c>
      <c r="AB21" t="s">
        <v>64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 t="s">
        <v>179</v>
      </c>
      <c r="AK21" t="s">
        <v>125</v>
      </c>
      <c r="AL21" t="s">
        <v>126</v>
      </c>
      <c r="AM21" t="str">
        <f t="shared" si="1"/>
        <v>2022-2024</v>
      </c>
      <c r="AN21">
        <f t="shared" si="2"/>
        <v>2</v>
      </c>
    </row>
    <row r="22" spans="1:40" x14ac:dyDescent="0.2">
      <c r="A22">
        <v>21</v>
      </c>
      <c r="B22" t="s">
        <v>181</v>
      </c>
      <c r="C22" t="s">
        <v>1717</v>
      </c>
      <c r="D22" t="s">
        <v>114</v>
      </c>
      <c r="E22" t="s">
        <v>98</v>
      </c>
      <c r="F22" t="s">
        <v>99</v>
      </c>
      <c r="G22">
        <v>16</v>
      </c>
      <c r="H22">
        <v>6.944546946</v>
      </c>
      <c r="I22" t="s">
        <v>88</v>
      </c>
      <c r="J22">
        <v>8</v>
      </c>
      <c r="K22">
        <v>3.3975700099999999</v>
      </c>
      <c r="L22">
        <v>3</v>
      </c>
      <c r="M22" t="s">
        <v>97</v>
      </c>
      <c r="N22">
        <v>0</v>
      </c>
      <c r="O22">
        <v>29</v>
      </c>
      <c r="P22">
        <v>21</v>
      </c>
      <c r="Q22">
        <v>12</v>
      </c>
      <c r="R22" t="s">
        <v>183</v>
      </c>
      <c r="S22" s="3" t="s">
        <v>90</v>
      </c>
      <c r="T22" s="3">
        <f t="shared" si="0"/>
        <v>1</v>
      </c>
      <c r="U22" t="s">
        <v>96</v>
      </c>
      <c r="V22" t="s">
        <v>142</v>
      </c>
      <c r="W22" t="s">
        <v>148</v>
      </c>
      <c r="X22">
        <v>0</v>
      </c>
      <c r="Y22" t="s">
        <v>143</v>
      </c>
      <c r="Z22" t="s">
        <v>144</v>
      </c>
      <c r="AA22" t="s">
        <v>43</v>
      </c>
      <c r="AB22" t="s">
        <v>44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 t="s">
        <v>182</v>
      </c>
      <c r="AK22" t="s">
        <v>93</v>
      </c>
      <c r="AL22" t="s">
        <v>94</v>
      </c>
      <c r="AM22" t="str">
        <f t="shared" si="1"/>
        <v>2020-2021</v>
      </c>
      <c r="AN22">
        <f t="shared" si="2"/>
        <v>1</v>
      </c>
    </row>
    <row r="23" spans="1:40" x14ac:dyDescent="0.2">
      <c r="A23">
        <v>22</v>
      </c>
      <c r="B23" t="s">
        <v>184</v>
      </c>
      <c r="C23" t="s">
        <v>1718</v>
      </c>
      <c r="D23" t="s">
        <v>186</v>
      </c>
      <c r="E23" t="s">
        <v>98</v>
      </c>
      <c r="F23" t="s">
        <v>99</v>
      </c>
      <c r="G23">
        <v>27</v>
      </c>
      <c r="H23">
        <v>9.5820876399999975</v>
      </c>
      <c r="I23" t="s">
        <v>88</v>
      </c>
      <c r="J23">
        <v>39</v>
      </c>
      <c r="K23">
        <v>22.47260696999999</v>
      </c>
      <c r="L23">
        <v>4</v>
      </c>
      <c r="M23" t="s">
        <v>97</v>
      </c>
      <c r="N23">
        <v>2</v>
      </c>
      <c r="O23">
        <v>48</v>
      </c>
      <c r="P23">
        <v>51</v>
      </c>
      <c r="Q23">
        <v>12</v>
      </c>
      <c r="R23" t="s">
        <v>183</v>
      </c>
      <c r="S23" s="3" t="s">
        <v>90</v>
      </c>
      <c r="T23" s="3">
        <f t="shared" si="0"/>
        <v>1</v>
      </c>
      <c r="U23" t="s">
        <v>96</v>
      </c>
      <c r="V23" t="s">
        <v>142</v>
      </c>
      <c r="W23" t="s">
        <v>148</v>
      </c>
      <c r="X23">
        <v>0</v>
      </c>
      <c r="Y23" t="s">
        <v>143</v>
      </c>
      <c r="Z23" t="s">
        <v>144</v>
      </c>
      <c r="AA23" t="s">
        <v>43</v>
      </c>
      <c r="AB23" t="s">
        <v>44</v>
      </c>
      <c r="AC23">
        <v>2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 t="s">
        <v>185</v>
      </c>
      <c r="AK23" t="s">
        <v>156</v>
      </c>
      <c r="AL23" t="s">
        <v>157</v>
      </c>
      <c r="AM23" t="str">
        <f t="shared" si="1"/>
        <v>2016-2020</v>
      </c>
      <c r="AN23">
        <f t="shared" si="2"/>
        <v>4</v>
      </c>
    </row>
    <row r="24" spans="1:40" x14ac:dyDescent="0.2">
      <c r="A24">
        <v>23</v>
      </c>
      <c r="B24" t="s">
        <v>187</v>
      </c>
      <c r="C24" t="s">
        <v>1717</v>
      </c>
      <c r="D24" t="s">
        <v>60</v>
      </c>
      <c r="E24" t="s">
        <v>68</v>
      </c>
      <c r="F24" t="s">
        <v>196</v>
      </c>
      <c r="G24">
        <v>2</v>
      </c>
      <c r="H24">
        <v>1.32117175</v>
      </c>
      <c r="I24" t="s">
        <v>189</v>
      </c>
      <c r="J24">
        <v>2</v>
      </c>
      <c r="K24">
        <v>1.23003733</v>
      </c>
      <c r="L24">
        <v>2</v>
      </c>
      <c r="M24" t="s">
        <v>97</v>
      </c>
      <c r="N24">
        <v>2</v>
      </c>
      <c r="O24">
        <v>2</v>
      </c>
      <c r="P24">
        <v>33</v>
      </c>
      <c r="Q24">
        <v>13</v>
      </c>
      <c r="R24" t="s">
        <v>197</v>
      </c>
      <c r="S24" s="3" t="s">
        <v>141</v>
      </c>
      <c r="T24" s="3">
        <f t="shared" si="0"/>
        <v>1</v>
      </c>
      <c r="U24" t="s">
        <v>149</v>
      </c>
      <c r="V24" t="s">
        <v>142</v>
      </c>
      <c r="W24" t="s">
        <v>195</v>
      </c>
      <c r="X24">
        <v>0</v>
      </c>
      <c r="Y24" t="s">
        <v>143</v>
      </c>
      <c r="Z24" t="s">
        <v>190</v>
      </c>
      <c r="AA24" t="s">
        <v>191</v>
      </c>
      <c r="AB24" t="s">
        <v>192</v>
      </c>
      <c r="AC24">
        <v>2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0</v>
      </c>
      <c r="AJ24" t="s">
        <v>188</v>
      </c>
      <c r="AK24" t="s">
        <v>193</v>
      </c>
      <c r="AL24" t="s">
        <v>194</v>
      </c>
      <c r="AM24" t="str">
        <f t="shared" si="1"/>
        <v>2018-2021</v>
      </c>
      <c r="AN24">
        <f t="shared" si="2"/>
        <v>3</v>
      </c>
    </row>
    <row r="25" spans="1:40" x14ac:dyDescent="0.2">
      <c r="A25">
        <v>24</v>
      </c>
      <c r="B25" t="s">
        <v>198</v>
      </c>
      <c r="C25" t="s">
        <v>1717</v>
      </c>
      <c r="D25" t="s">
        <v>79</v>
      </c>
      <c r="E25" t="s">
        <v>50</v>
      </c>
      <c r="F25" t="s">
        <v>120</v>
      </c>
      <c r="G25">
        <v>28</v>
      </c>
      <c r="H25">
        <v>13.325236840000001</v>
      </c>
      <c r="I25" t="s">
        <v>115</v>
      </c>
      <c r="J25">
        <v>19</v>
      </c>
      <c r="K25">
        <v>1.528933994</v>
      </c>
      <c r="L25">
        <v>10</v>
      </c>
      <c r="M25" t="s">
        <v>119</v>
      </c>
      <c r="N25">
        <v>12</v>
      </c>
      <c r="O25">
        <v>63</v>
      </c>
      <c r="P25">
        <v>383</v>
      </c>
      <c r="Q25">
        <v>14</v>
      </c>
      <c r="R25" t="s">
        <v>200</v>
      </c>
      <c r="S25" s="3" t="s">
        <v>90</v>
      </c>
      <c r="T25" s="3">
        <f t="shared" si="0"/>
        <v>1</v>
      </c>
      <c r="U25" t="s">
        <v>96</v>
      </c>
      <c r="V25" t="s">
        <v>142</v>
      </c>
      <c r="W25" t="s">
        <v>148</v>
      </c>
      <c r="X25">
        <v>0</v>
      </c>
      <c r="Y25" t="s">
        <v>143</v>
      </c>
      <c r="Z25" t="s">
        <v>144</v>
      </c>
      <c r="AA25" t="s">
        <v>43</v>
      </c>
      <c r="AB25" t="s">
        <v>201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 t="s">
        <v>199</v>
      </c>
      <c r="AK25" t="s">
        <v>202</v>
      </c>
      <c r="AL25" t="s">
        <v>203</v>
      </c>
      <c r="AM25" t="str">
        <f t="shared" si="1"/>
        <v>2018-2020</v>
      </c>
      <c r="AN25">
        <f t="shared" si="2"/>
        <v>2</v>
      </c>
    </row>
    <row r="26" spans="1:40" x14ac:dyDescent="0.2">
      <c r="A26">
        <v>25</v>
      </c>
      <c r="B26" t="s">
        <v>204</v>
      </c>
      <c r="C26" t="s">
        <v>1718</v>
      </c>
      <c r="D26" t="s">
        <v>186</v>
      </c>
      <c r="E26" t="s">
        <v>98</v>
      </c>
      <c r="F26" t="s">
        <v>99</v>
      </c>
      <c r="G26">
        <v>4</v>
      </c>
      <c r="H26">
        <v>0.84088610000000008</v>
      </c>
      <c r="I26" t="s">
        <v>88</v>
      </c>
      <c r="J26">
        <v>5</v>
      </c>
      <c r="K26">
        <v>2.1447947699999999</v>
      </c>
      <c r="L26">
        <v>1</v>
      </c>
      <c r="M26" t="s">
        <v>137</v>
      </c>
      <c r="N26">
        <v>0</v>
      </c>
      <c r="O26">
        <v>6</v>
      </c>
      <c r="P26">
        <v>3</v>
      </c>
      <c r="Q26">
        <v>15</v>
      </c>
      <c r="R26" t="s">
        <v>207</v>
      </c>
      <c r="S26" s="3" t="s">
        <v>141</v>
      </c>
      <c r="T26" s="3">
        <f t="shared" si="0"/>
        <v>1</v>
      </c>
      <c r="U26" t="s">
        <v>149</v>
      </c>
      <c r="V26" t="s">
        <v>142</v>
      </c>
      <c r="W26" t="s">
        <v>195</v>
      </c>
      <c r="X26">
        <v>0</v>
      </c>
      <c r="Y26" t="s">
        <v>143</v>
      </c>
      <c r="Z26" t="s">
        <v>190</v>
      </c>
      <c r="AA26" t="s">
        <v>63</v>
      </c>
      <c r="AB26" t="s">
        <v>206</v>
      </c>
      <c r="AC26">
        <v>2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0</v>
      </c>
      <c r="AJ26" t="s">
        <v>205</v>
      </c>
      <c r="AK26" t="s">
        <v>82</v>
      </c>
      <c r="AL26" t="s">
        <v>83</v>
      </c>
      <c r="AM26" t="str">
        <f t="shared" si="1"/>
        <v>2014-2016</v>
      </c>
      <c r="AN26">
        <f t="shared" si="2"/>
        <v>2</v>
      </c>
    </row>
    <row r="27" spans="1:40" x14ac:dyDescent="0.2">
      <c r="A27">
        <v>26</v>
      </c>
      <c r="B27" t="s">
        <v>208</v>
      </c>
      <c r="C27" t="s">
        <v>1718</v>
      </c>
      <c r="D27" t="s">
        <v>186</v>
      </c>
      <c r="E27" t="s">
        <v>98</v>
      </c>
      <c r="F27" t="s">
        <v>99</v>
      </c>
      <c r="G27">
        <v>26</v>
      </c>
      <c r="H27">
        <v>10.94425888</v>
      </c>
      <c r="I27" t="s">
        <v>88</v>
      </c>
      <c r="J27">
        <v>25</v>
      </c>
      <c r="K27">
        <v>13.956628889999999</v>
      </c>
      <c r="L27">
        <v>2</v>
      </c>
      <c r="M27" t="s">
        <v>97</v>
      </c>
      <c r="N27">
        <v>0</v>
      </c>
      <c r="O27">
        <v>44</v>
      </c>
      <c r="P27">
        <v>7</v>
      </c>
      <c r="Q27">
        <v>16</v>
      </c>
      <c r="R27" t="s">
        <v>210</v>
      </c>
      <c r="S27" s="3" t="s">
        <v>141</v>
      </c>
      <c r="T27" s="3">
        <f t="shared" si="0"/>
        <v>1</v>
      </c>
      <c r="U27" t="s">
        <v>149</v>
      </c>
      <c r="V27" t="s">
        <v>142</v>
      </c>
      <c r="W27" t="s">
        <v>148</v>
      </c>
      <c r="X27">
        <v>0</v>
      </c>
      <c r="Y27" t="s">
        <v>143</v>
      </c>
      <c r="Z27" t="s">
        <v>144</v>
      </c>
      <c r="AA27" t="s">
        <v>43</v>
      </c>
      <c r="AB27" t="s">
        <v>81</v>
      </c>
      <c r="AC27">
        <v>2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0</v>
      </c>
      <c r="AJ27" t="s">
        <v>209</v>
      </c>
      <c r="AK27" t="s">
        <v>74</v>
      </c>
      <c r="AL27" t="s">
        <v>75</v>
      </c>
      <c r="AM27" t="str">
        <f t="shared" si="1"/>
        <v>2014-2018</v>
      </c>
      <c r="AN27">
        <f t="shared" si="2"/>
        <v>4</v>
      </c>
    </row>
    <row r="28" spans="1:40" x14ac:dyDescent="0.2">
      <c r="A28">
        <v>27</v>
      </c>
      <c r="B28" t="s">
        <v>211</v>
      </c>
      <c r="C28" t="s">
        <v>1717</v>
      </c>
      <c r="D28" t="s">
        <v>186</v>
      </c>
      <c r="E28" t="s">
        <v>98</v>
      </c>
      <c r="F28" t="s">
        <v>99</v>
      </c>
      <c r="G28">
        <v>31</v>
      </c>
      <c r="H28">
        <v>11.654618755</v>
      </c>
      <c r="I28" t="s">
        <v>88</v>
      </c>
      <c r="J28">
        <v>34</v>
      </c>
      <c r="K28">
        <v>20.506344990000009</v>
      </c>
      <c r="L28">
        <v>2</v>
      </c>
      <c r="M28" t="s">
        <v>97</v>
      </c>
      <c r="N28">
        <v>0</v>
      </c>
      <c r="O28">
        <v>42</v>
      </c>
      <c r="P28">
        <v>8</v>
      </c>
      <c r="Q28">
        <v>16</v>
      </c>
      <c r="R28" t="s">
        <v>210</v>
      </c>
      <c r="S28" s="3" t="s">
        <v>141</v>
      </c>
      <c r="T28" s="3">
        <f t="shared" si="0"/>
        <v>1</v>
      </c>
      <c r="U28" t="s">
        <v>149</v>
      </c>
      <c r="V28" t="s">
        <v>142</v>
      </c>
      <c r="W28" t="s">
        <v>148</v>
      </c>
      <c r="X28">
        <v>0</v>
      </c>
      <c r="Y28" t="s">
        <v>143</v>
      </c>
      <c r="Z28" t="s">
        <v>144</v>
      </c>
      <c r="AA28" t="s">
        <v>43</v>
      </c>
      <c r="AB28" t="s">
        <v>81</v>
      </c>
      <c r="AC28">
        <v>2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0</v>
      </c>
      <c r="AJ28" t="s">
        <v>212</v>
      </c>
      <c r="AK28" t="s">
        <v>213</v>
      </c>
      <c r="AL28" t="s">
        <v>214</v>
      </c>
      <c r="AM28" t="str">
        <f t="shared" si="1"/>
        <v>2020-2024</v>
      </c>
      <c r="AN28">
        <f t="shared" si="2"/>
        <v>4</v>
      </c>
    </row>
    <row r="29" spans="1:40" x14ac:dyDescent="0.2">
      <c r="A29">
        <v>28</v>
      </c>
      <c r="B29" t="s">
        <v>215</v>
      </c>
      <c r="C29" t="s">
        <v>1717</v>
      </c>
      <c r="D29" t="s">
        <v>217</v>
      </c>
      <c r="E29" t="s">
        <v>68</v>
      </c>
      <c r="F29" t="s">
        <v>221</v>
      </c>
      <c r="G29">
        <v>80</v>
      </c>
      <c r="H29">
        <v>40.099613959999999</v>
      </c>
      <c r="I29" t="s">
        <v>218</v>
      </c>
      <c r="J29">
        <v>37</v>
      </c>
      <c r="K29">
        <v>12.20670861</v>
      </c>
      <c r="L29">
        <v>16</v>
      </c>
      <c r="M29" t="s">
        <v>67</v>
      </c>
      <c r="N29">
        <v>23</v>
      </c>
      <c r="O29">
        <v>125</v>
      </c>
      <c r="P29">
        <v>1166</v>
      </c>
      <c r="Q29">
        <v>17</v>
      </c>
      <c r="R29" t="s">
        <v>222</v>
      </c>
      <c r="S29" s="3">
        <v>4</v>
      </c>
      <c r="T29" s="3">
        <f t="shared" si="0"/>
        <v>1</v>
      </c>
      <c r="U29" t="s">
        <v>96</v>
      </c>
      <c r="V29" t="s">
        <v>142</v>
      </c>
      <c r="W29" t="s">
        <v>220</v>
      </c>
      <c r="X29">
        <v>0</v>
      </c>
      <c r="Y29" t="s">
        <v>41</v>
      </c>
      <c r="Z29" t="s">
        <v>219</v>
      </c>
      <c r="AA29" t="s">
        <v>43</v>
      </c>
      <c r="AB29" t="s">
        <v>81</v>
      </c>
      <c r="AC29">
        <v>2</v>
      </c>
      <c r="AD29">
        <v>0</v>
      </c>
      <c r="AE29">
        <v>1</v>
      </c>
      <c r="AF29">
        <v>1</v>
      </c>
      <c r="AG29">
        <v>0</v>
      </c>
      <c r="AH29">
        <v>0</v>
      </c>
      <c r="AI29">
        <v>0</v>
      </c>
      <c r="AJ29" t="s">
        <v>216</v>
      </c>
      <c r="AK29" t="s">
        <v>156</v>
      </c>
      <c r="AL29" t="s">
        <v>157</v>
      </c>
      <c r="AM29" t="str">
        <f t="shared" si="1"/>
        <v>2016-2020</v>
      </c>
      <c r="AN29">
        <f t="shared" si="2"/>
        <v>4</v>
      </c>
    </row>
    <row r="30" spans="1:40" x14ac:dyDescent="0.2">
      <c r="A30">
        <v>29</v>
      </c>
      <c r="B30" t="s">
        <v>223</v>
      </c>
      <c r="C30" t="s">
        <v>1718</v>
      </c>
      <c r="D30" t="s">
        <v>227</v>
      </c>
      <c r="E30" t="s">
        <v>227</v>
      </c>
      <c r="F30" t="s">
        <v>227</v>
      </c>
      <c r="I30" t="s">
        <v>226</v>
      </c>
      <c r="M30" t="s">
        <v>226</v>
      </c>
      <c r="Q30">
        <v>18</v>
      </c>
      <c r="R30" t="s">
        <v>228</v>
      </c>
      <c r="S30" s="3" t="s">
        <v>90</v>
      </c>
      <c r="T30" s="3">
        <f t="shared" si="0"/>
        <v>1</v>
      </c>
      <c r="U30" t="s">
        <v>96</v>
      </c>
      <c r="V30" t="s">
        <v>142</v>
      </c>
      <c r="W30" t="s">
        <v>195</v>
      </c>
      <c r="X30">
        <v>0</v>
      </c>
      <c r="Y30" t="s">
        <v>143</v>
      </c>
      <c r="Z30" t="s">
        <v>190</v>
      </c>
      <c r="AA30" t="s">
        <v>224</v>
      </c>
      <c r="AB30" t="s">
        <v>225</v>
      </c>
      <c r="AC30">
        <v>2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0</v>
      </c>
      <c r="AJ30" t="s">
        <v>226</v>
      </c>
      <c r="AK30" t="s">
        <v>156</v>
      </c>
      <c r="AL30" t="s">
        <v>157</v>
      </c>
      <c r="AM30" t="str">
        <f t="shared" si="1"/>
        <v>2016-2020</v>
      </c>
      <c r="AN30">
        <f t="shared" si="2"/>
        <v>4</v>
      </c>
    </row>
    <row r="31" spans="1:40" x14ac:dyDescent="0.2">
      <c r="A31">
        <v>30</v>
      </c>
      <c r="B31" t="s">
        <v>229</v>
      </c>
      <c r="C31" t="s">
        <v>1718</v>
      </c>
      <c r="D31" t="s">
        <v>231</v>
      </c>
      <c r="E31" t="s">
        <v>98</v>
      </c>
      <c r="F31" t="s">
        <v>99</v>
      </c>
      <c r="G31">
        <v>1</v>
      </c>
      <c r="H31">
        <v>0.38677837999999998</v>
      </c>
      <c r="I31" t="s">
        <v>88</v>
      </c>
      <c r="J31">
        <v>1</v>
      </c>
      <c r="K31">
        <v>0.32584291999999998</v>
      </c>
      <c r="L31">
        <v>1</v>
      </c>
      <c r="M31" t="s">
        <v>137</v>
      </c>
      <c r="N31">
        <v>0</v>
      </c>
      <c r="O31">
        <v>1</v>
      </c>
      <c r="P31">
        <v>1</v>
      </c>
      <c r="Q31">
        <v>18</v>
      </c>
      <c r="R31" t="s">
        <v>228</v>
      </c>
      <c r="S31" s="3" t="s">
        <v>90</v>
      </c>
      <c r="T31" s="3">
        <f t="shared" si="0"/>
        <v>1</v>
      </c>
      <c r="U31" t="s">
        <v>96</v>
      </c>
      <c r="V31" t="s">
        <v>142</v>
      </c>
      <c r="W31" t="s">
        <v>195</v>
      </c>
      <c r="X31">
        <v>0</v>
      </c>
      <c r="Y31" t="s">
        <v>143</v>
      </c>
      <c r="Z31" t="s">
        <v>190</v>
      </c>
      <c r="AA31" t="s">
        <v>224</v>
      </c>
      <c r="AB31" t="s">
        <v>225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 t="s">
        <v>230</v>
      </c>
      <c r="AK31" t="s">
        <v>65</v>
      </c>
      <c r="AL31" t="s">
        <v>66</v>
      </c>
      <c r="AM31" t="str">
        <f t="shared" si="1"/>
        <v>2024-2027</v>
      </c>
      <c r="AN31">
        <f t="shared" si="2"/>
        <v>3</v>
      </c>
    </row>
    <row r="32" spans="1:40" x14ac:dyDescent="0.2">
      <c r="A32">
        <v>31</v>
      </c>
      <c r="B32" t="s">
        <v>232</v>
      </c>
      <c r="C32" t="s">
        <v>1718</v>
      </c>
      <c r="D32" t="s">
        <v>60</v>
      </c>
      <c r="E32" t="s">
        <v>50</v>
      </c>
      <c r="F32" t="s">
        <v>76</v>
      </c>
      <c r="G32">
        <v>100</v>
      </c>
      <c r="H32">
        <v>43.385453935000022</v>
      </c>
      <c r="I32" t="s">
        <v>73</v>
      </c>
      <c r="J32">
        <v>72</v>
      </c>
      <c r="K32">
        <v>20.29025356</v>
      </c>
      <c r="L32">
        <v>23</v>
      </c>
      <c r="M32" t="s">
        <v>49</v>
      </c>
      <c r="N32">
        <v>48</v>
      </c>
      <c r="O32">
        <v>160</v>
      </c>
      <c r="P32">
        <v>1920</v>
      </c>
      <c r="Q32">
        <v>19</v>
      </c>
      <c r="R32" t="s">
        <v>235</v>
      </c>
      <c r="S32" s="3" t="s">
        <v>141</v>
      </c>
      <c r="T32" s="3">
        <f t="shared" si="0"/>
        <v>1</v>
      </c>
      <c r="U32" t="s">
        <v>149</v>
      </c>
      <c r="V32" t="s">
        <v>142</v>
      </c>
      <c r="W32" t="s">
        <v>148</v>
      </c>
      <c r="X32">
        <v>0</v>
      </c>
      <c r="Y32" t="s">
        <v>143</v>
      </c>
      <c r="Z32" t="s">
        <v>144</v>
      </c>
      <c r="AA32" t="s">
        <v>224</v>
      </c>
      <c r="AB32" t="s">
        <v>234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 t="s">
        <v>233</v>
      </c>
      <c r="AK32" t="s">
        <v>202</v>
      </c>
      <c r="AL32" t="s">
        <v>203</v>
      </c>
      <c r="AM32" t="str">
        <f t="shared" si="1"/>
        <v>2018-2020</v>
      </c>
      <c r="AN32">
        <f t="shared" si="2"/>
        <v>2</v>
      </c>
    </row>
    <row r="33" spans="1:40" x14ac:dyDescent="0.2">
      <c r="A33">
        <v>32</v>
      </c>
      <c r="B33" t="s">
        <v>236</v>
      </c>
      <c r="C33" t="s">
        <v>1718</v>
      </c>
      <c r="D33" t="s">
        <v>186</v>
      </c>
      <c r="E33" t="s">
        <v>98</v>
      </c>
      <c r="F33" t="s">
        <v>99</v>
      </c>
      <c r="G33">
        <v>21</v>
      </c>
      <c r="H33">
        <v>11.2454038</v>
      </c>
      <c r="I33" t="s">
        <v>88</v>
      </c>
      <c r="J33">
        <v>21</v>
      </c>
      <c r="K33">
        <v>13.379670490000001</v>
      </c>
      <c r="L33">
        <v>1</v>
      </c>
      <c r="M33" t="s">
        <v>137</v>
      </c>
      <c r="N33">
        <v>0</v>
      </c>
      <c r="O33">
        <v>27</v>
      </c>
      <c r="P33">
        <v>4</v>
      </c>
      <c r="Q33">
        <v>20</v>
      </c>
      <c r="R33" t="s">
        <v>238</v>
      </c>
      <c r="S33" s="3" t="s">
        <v>90</v>
      </c>
      <c r="T33" s="3">
        <f t="shared" si="0"/>
        <v>1</v>
      </c>
      <c r="U33" t="s">
        <v>96</v>
      </c>
      <c r="V33" t="s">
        <v>142</v>
      </c>
      <c r="W33" t="s">
        <v>162</v>
      </c>
      <c r="X33">
        <v>0</v>
      </c>
      <c r="Y33" t="s">
        <v>41</v>
      </c>
      <c r="Z33" t="s">
        <v>167</v>
      </c>
      <c r="AA33" t="s">
        <v>43</v>
      </c>
      <c r="AB33" t="s">
        <v>81</v>
      </c>
      <c r="AC33">
        <v>4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1</v>
      </c>
      <c r="AJ33" t="s">
        <v>237</v>
      </c>
      <c r="AK33" t="s">
        <v>146</v>
      </c>
      <c r="AL33" t="s">
        <v>147</v>
      </c>
      <c r="AM33" t="str">
        <f t="shared" si="1"/>
        <v>2018-2027</v>
      </c>
      <c r="AN33">
        <f t="shared" si="2"/>
        <v>9</v>
      </c>
    </row>
    <row r="34" spans="1:40" x14ac:dyDescent="0.2">
      <c r="A34">
        <v>33</v>
      </c>
      <c r="B34" t="s">
        <v>239</v>
      </c>
      <c r="C34" t="s">
        <v>1718</v>
      </c>
      <c r="D34" t="s">
        <v>60</v>
      </c>
      <c r="E34" t="s">
        <v>68</v>
      </c>
      <c r="F34" t="s">
        <v>242</v>
      </c>
      <c r="G34">
        <v>18</v>
      </c>
      <c r="H34">
        <v>10.90936003</v>
      </c>
      <c r="I34" t="s">
        <v>241</v>
      </c>
      <c r="J34">
        <v>6</v>
      </c>
      <c r="K34">
        <v>2.7569203299999998</v>
      </c>
      <c r="L34">
        <v>8</v>
      </c>
      <c r="M34" t="s">
        <v>119</v>
      </c>
      <c r="N34">
        <v>5</v>
      </c>
      <c r="O34">
        <v>22</v>
      </c>
      <c r="P34">
        <v>166</v>
      </c>
      <c r="Q34">
        <v>21</v>
      </c>
      <c r="R34" t="s">
        <v>243</v>
      </c>
      <c r="S34" s="3" t="s">
        <v>90</v>
      </c>
      <c r="T34" s="3">
        <f t="shared" si="0"/>
        <v>1</v>
      </c>
      <c r="U34" t="s">
        <v>96</v>
      </c>
      <c r="V34" t="s">
        <v>142</v>
      </c>
      <c r="W34" t="s">
        <v>148</v>
      </c>
      <c r="X34">
        <v>0</v>
      </c>
      <c r="Y34" t="s">
        <v>143</v>
      </c>
      <c r="Z34" t="s">
        <v>144</v>
      </c>
      <c r="AA34" t="s">
        <v>224</v>
      </c>
      <c r="AB34" t="s">
        <v>225</v>
      </c>
      <c r="AC34">
        <v>4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0</v>
      </c>
      <c r="AJ34" t="s">
        <v>240</v>
      </c>
      <c r="AK34" t="s">
        <v>45</v>
      </c>
      <c r="AL34" t="s">
        <v>46</v>
      </c>
      <c r="AM34" t="str">
        <f t="shared" si="1"/>
        <v>2014-2021</v>
      </c>
      <c r="AN34">
        <f t="shared" si="2"/>
        <v>7</v>
      </c>
    </row>
    <row r="35" spans="1:40" x14ac:dyDescent="0.2">
      <c r="A35">
        <v>34</v>
      </c>
      <c r="B35" t="s">
        <v>244</v>
      </c>
      <c r="C35" t="s">
        <v>1718</v>
      </c>
      <c r="D35" t="s">
        <v>186</v>
      </c>
      <c r="E35" t="s">
        <v>98</v>
      </c>
      <c r="F35" t="s">
        <v>99</v>
      </c>
      <c r="G35">
        <v>1</v>
      </c>
      <c r="H35">
        <v>0.58852539999999998</v>
      </c>
      <c r="I35" t="s">
        <v>88</v>
      </c>
      <c r="J35">
        <v>1</v>
      </c>
      <c r="K35">
        <v>0.48365010000000003</v>
      </c>
      <c r="L35">
        <v>0</v>
      </c>
      <c r="M35" t="s">
        <v>137</v>
      </c>
      <c r="N35">
        <v>0</v>
      </c>
      <c r="O35">
        <v>1</v>
      </c>
      <c r="P35">
        <v>0</v>
      </c>
      <c r="Q35">
        <v>21</v>
      </c>
      <c r="R35" t="s">
        <v>243</v>
      </c>
      <c r="S35" s="3" t="s">
        <v>90</v>
      </c>
      <c r="T35" s="3">
        <f t="shared" si="0"/>
        <v>1</v>
      </c>
      <c r="U35" t="s">
        <v>96</v>
      </c>
      <c r="V35" t="s">
        <v>142</v>
      </c>
      <c r="W35" t="s">
        <v>148</v>
      </c>
      <c r="X35">
        <v>0</v>
      </c>
      <c r="Y35" t="s">
        <v>143</v>
      </c>
      <c r="Z35" t="s">
        <v>144</v>
      </c>
      <c r="AA35" t="s">
        <v>224</v>
      </c>
      <c r="AB35" t="s">
        <v>225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 t="s">
        <v>245</v>
      </c>
      <c r="AK35" t="s">
        <v>55</v>
      </c>
      <c r="AL35" t="s">
        <v>56</v>
      </c>
      <c r="AM35" t="str">
        <f t="shared" si="1"/>
        <v>2022-2027</v>
      </c>
      <c r="AN35">
        <f t="shared" si="2"/>
        <v>5</v>
      </c>
    </row>
    <row r="36" spans="1:40" x14ac:dyDescent="0.2">
      <c r="A36">
        <v>35</v>
      </c>
      <c r="B36" t="s">
        <v>246</v>
      </c>
      <c r="C36" t="s">
        <v>1717</v>
      </c>
      <c r="D36" t="s">
        <v>248</v>
      </c>
      <c r="E36" t="s">
        <v>68</v>
      </c>
      <c r="F36" t="s">
        <v>250</v>
      </c>
      <c r="G36">
        <v>5</v>
      </c>
      <c r="H36">
        <v>2.0989800399999998</v>
      </c>
      <c r="I36" t="s">
        <v>249</v>
      </c>
      <c r="J36">
        <v>3</v>
      </c>
      <c r="K36">
        <v>0.225705144</v>
      </c>
      <c r="L36">
        <v>4</v>
      </c>
      <c r="M36" t="s">
        <v>97</v>
      </c>
      <c r="N36">
        <v>3</v>
      </c>
      <c r="O36">
        <v>9</v>
      </c>
      <c r="P36">
        <v>41</v>
      </c>
      <c r="Q36">
        <v>22</v>
      </c>
      <c r="R36" t="s">
        <v>251</v>
      </c>
      <c r="S36" s="3" t="s">
        <v>90</v>
      </c>
      <c r="T36" s="3">
        <f t="shared" si="0"/>
        <v>1</v>
      </c>
      <c r="U36" t="s">
        <v>96</v>
      </c>
      <c r="V36" t="s">
        <v>142</v>
      </c>
      <c r="W36" t="s">
        <v>148</v>
      </c>
      <c r="X36">
        <v>0</v>
      </c>
      <c r="Y36" t="s">
        <v>143</v>
      </c>
      <c r="Z36" t="s">
        <v>144</v>
      </c>
      <c r="AA36" t="s">
        <v>224</v>
      </c>
      <c r="AB36" t="s">
        <v>225</v>
      </c>
      <c r="AC36">
        <v>2</v>
      </c>
      <c r="AD36">
        <v>1</v>
      </c>
      <c r="AE36">
        <v>1</v>
      </c>
      <c r="AF36">
        <v>0</v>
      </c>
      <c r="AG36">
        <v>0</v>
      </c>
      <c r="AH36">
        <v>0</v>
      </c>
      <c r="AI36">
        <v>0</v>
      </c>
      <c r="AJ36" t="s">
        <v>247</v>
      </c>
      <c r="AK36" t="s">
        <v>74</v>
      </c>
      <c r="AL36" t="s">
        <v>75</v>
      </c>
      <c r="AM36" t="str">
        <f t="shared" si="1"/>
        <v>2014-2018</v>
      </c>
      <c r="AN36">
        <f t="shared" si="2"/>
        <v>4</v>
      </c>
    </row>
    <row r="37" spans="1:40" x14ac:dyDescent="0.2">
      <c r="A37">
        <v>36</v>
      </c>
      <c r="B37" t="s">
        <v>252</v>
      </c>
      <c r="C37" t="s">
        <v>1718</v>
      </c>
      <c r="D37" t="s">
        <v>186</v>
      </c>
      <c r="E37" t="s">
        <v>98</v>
      </c>
      <c r="F37" t="s">
        <v>99</v>
      </c>
      <c r="G37">
        <v>36</v>
      </c>
      <c r="H37">
        <v>8.8688624699999981</v>
      </c>
      <c r="I37" t="s">
        <v>88</v>
      </c>
      <c r="J37">
        <v>50</v>
      </c>
      <c r="K37">
        <v>28.665497259999999</v>
      </c>
      <c r="L37">
        <v>5</v>
      </c>
      <c r="M37" t="s">
        <v>119</v>
      </c>
      <c r="N37">
        <v>4</v>
      </c>
      <c r="O37">
        <v>107</v>
      </c>
      <c r="P37">
        <v>91</v>
      </c>
      <c r="Q37">
        <v>23</v>
      </c>
      <c r="R37" t="s">
        <v>254</v>
      </c>
      <c r="S37" s="3">
        <v>3</v>
      </c>
      <c r="T37" s="3">
        <f t="shared" si="0"/>
        <v>1</v>
      </c>
      <c r="U37" t="s">
        <v>149</v>
      </c>
      <c r="V37" t="s">
        <v>142</v>
      </c>
      <c r="W37" t="s">
        <v>148</v>
      </c>
      <c r="X37">
        <v>0</v>
      </c>
      <c r="Y37" t="s">
        <v>143</v>
      </c>
      <c r="Z37" t="s">
        <v>144</v>
      </c>
      <c r="AA37" t="s">
        <v>43</v>
      </c>
      <c r="AB37" t="s">
        <v>81</v>
      </c>
      <c r="AC37">
        <v>5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0</v>
      </c>
      <c r="AJ37" t="s">
        <v>253</v>
      </c>
      <c r="AK37" t="s">
        <v>255</v>
      </c>
      <c r="AL37" t="s">
        <v>256</v>
      </c>
      <c r="AM37" t="str">
        <f t="shared" si="1"/>
        <v>2014-2024</v>
      </c>
      <c r="AN37">
        <f t="shared" si="2"/>
        <v>10</v>
      </c>
    </row>
    <row r="38" spans="1:40" x14ac:dyDescent="0.2">
      <c r="A38">
        <v>37</v>
      </c>
      <c r="B38" t="s">
        <v>257</v>
      </c>
      <c r="C38" t="s">
        <v>1717</v>
      </c>
      <c r="D38" t="s">
        <v>123</v>
      </c>
      <c r="E38" t="s">
        <v>98</v>
      </c>
      <c r="F38" t="s">
        <v>99</v>
      </c>
      <c r="G38">
        <v>16</v>
      </c>
      <c r="H38">
        <v>6.5353007099999996</v>
      </c>
      <c r="I38" t="s">
        <v>88</v>
      </c>
      <c r="J38">
        <v>15</v>
      </c>
      <c r="K38">
        <v>7.4100357399999996</v>
      </c>
      <c r="L38">
        <v>4</v>
      </c>
      <c r="M38" t="s">
        <v>97</v>
      </c>
      <c r="N38">
        <v>2</v>
      </c>
      <c r="O38">
        <v>46</v>
      </c>
      <c r="P38">
        <v>54</v>
      </c>
      <c r="Q38">
        <v>23</v>
      </c>
      <c r="R38" t="s">
        <v>254</v>
      </c>
      <c r="S38" s="3">
        <v>3</v>
      </c>
      <c r="T38" s="3">
        <f t="shared" si="0"/>
        <v>1</v>
      </c>
      <c r="U38" t="s">
        <v>149</v>
      </c>
      <c r="V38" t="s">
        <v>142</v>
      </c>
      <c r="W38" t="s">
        <v>148</v>
      </c>
      <c r="X38">
        <v>0</v>
      </c>
      <c r="Y38" t="s">
        <v>143</v>
      </c>
      <c r="Z38" t="s">
        <v>144</v>
      </c>
      <c r="AA38" t="s">
        <v>43</v>
      </c>
      <c r="AB38" t="s">
        <v>81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 t="s">
        <v>258</v>
      </c>
      <c r="AK38" t="s">
        <v>65</v>
      </c>
      <c r="AL38" t="s">
        <v>66</v>
      </c>
      <c r="AM38" t="str">
        <f t="shared" si="1"/>
        <v>2024-2027</v>
      </c>
      <c r="AN38">
        <f t="shared" si="2"/>
        <v>3</v>
      </c>
    </row>
    <row r="39" spans="1:40" x14ac:dyDescent="0.2">
      <c r="A39">
        <v>38</v>
      </c>
      <c r="B39" t="s">
        <v>259</v>
      </c>
      <c r="C39" t="s">
        <v>1718</v>
      </c>
      <c r="D39" t="s">
        <v>72</v>
      </c>
      <c r="E39" t="s">
        <v>68</v>
      </c>
      <c r="F39" t="s">
        <v>263</v>
      </c>
      <c r="G39">
        <v>36</v>
      </c>
      <c r="H39">
        <v>16.394080339999999</v>
      </c>
      <c r="I39" t="s">
        <v>261</v>
      </c>
      <c r="J39">
        <v>28</v>
      </c>
      <c r="K39">
        <v>9.8299758599999976</v>
      </c>
      <c r="L39">
        <v>14</v>
      </c>
      <c r="M39" t="s">
        <v>67</v>
      </c>
      <c r="N39">
        <v>19</v>
      </c>
      <c r="O39">
        <v>37</v>
      </c>
      <c r="P39">
        <v>512</v>
      </c>
      <c r="Q39">
        <v>24</v>
      </c>
      <c r="R39" t="s">
        <v>262</v>
      </c>
      <c r="T39" s="3">
        <f t="shared" si="0"/>
        <v>0</v>
      </c>
      <c r="U39" t="s">
        <v>48</v>
      </c>
      <c r="V39" t="s">
        <v>40</v>
      </c>
      <c r="W39" t="s">
        <v>1719</v>
      </c>
      <c r="X39">
        <v>0</v>
      </c>
      <c r="Y39" t="s">
        <v>42</v>
      </c>
      <c r="Z39" t="s">
        <v>40</v>
      </c>
      <c r="AA39" t="s">
        <v>191</v>
      </c>
      <c r="AB39" t="s">
        <v>192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 t="s">
        <v>260</v>
      </c>
      <c r="AK39" t="s">
        <v>65</v>
      </c>
      <c r="AL39" t="s">
        <v>66</v>
      </c>
      <c r="AM39" t="str">
        <f t="shared" si="1"/>
        <v>2024-2027</v>
      </c>
      <c r="AN39">
        <f t="shared" si="2"/>
        <v>3</v>
      </c>
    </row>
    <row r="40" spans="1:40" x14ac:dyDescent="0.2">
      <c r="A40">
        <v>39</v>
      </c>
      <c r="B40" t="s">
        <v>264</v>
      </c>
      <c r="C40" t="s">
        <v>1717</v>
      </c>
      <c r="D40" t="s">
        <v>37</v>
      </c>
      <c r="E40" t="s">
        <v>98</v>
      </c>
      <c r="F40" t="s">
        <v>99</v>
      </c>
      <c r="G40">
        <v>29</v>
      </c>
      <c r="H40">
        <v>9.0808968839999995</v>
      </c>
      <c r="I40" t="s">
        <v>88</v>
      </c>
      <c r="J40">
        <v>25</v>
      </c>
      <c r="K40">
        <v>14.949353049999999</v>
      </c>
      <c r="L40">
        <v>10</v>
      </c>
      <c r="M40" t="s">
        <v>119</v>
      </c>
      <c r="N40">
        <v>11</v>
      </c>
      <c r="O40">
        <v>53</v>
      </c>
      <c r="P40">
        <v>252</v>
      </c>
      <c r="Q40">
        <v>24</v>
      </c>
      <c r="R40" t="s">
        <v>262</v>
      </c>
      <c r="T40" s="3">
        <f t="shared" si="0"/>
        <v>0</v>
      </c>
      <c r="U40" t="s">
        <v>48</v>
      </c>
      <c r="V40" t="s">
        <v>40</v>
      </c>
      <c r="W40" t="s">
        <v>1719</v>
      </c>
      <c r="X40">
        <v>0</v>
      </c>
      <c r="Y40" t="s">
        <v>42</v>
      </c>
      <c r="Z40" t="s">
        <v>40</v>
      </c>
      <c r="AA40" t="s">
        <v>191</v>
      </c>
      <c r="AB40" t="s">
        <v>192</v>
      </c>
      <c r="AC40">
        <v>2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0</v>
      </c>
      <c r="AJ40" t="s">
        <v>265</v>
      </c>
      <c r="AK40" t="s">
        <v>156</v>
      </c>
      <c r="AL40" t="s">
        <v>157</v>
      </c>
      <c r="AM40" t="str">
        <f t="shared" si="1"/>
        <v>2016-2020</v>
      </c>
      <c r="AN40">
        <f t="shared" si="2"/>
        <v>4</v>
      </c>
    </row>
    <row r="41" spans="1:40" x14ac:dyDescent="0.2">
      <c r="A41">
        <v>40</v>
      </c>
      <c r="B41" t="s">
        <v>266</v>
      </c>
      <c r="C41" t="s">
        <v>1717</v>
      </c>
      <c r="D41" t="s">
        <v>60</v>
      </c>
      <c r="E41" t="s">
        <v>68</v>
      </c>
      <c r="F41" t="s">
        <v>271</v>
      </c>
      <c r="G41">
        <v>28</v>
      </c>
      <c r="H41">
        <v>17.18821479</v>
      </c>
      <c r="I41" t="s">
        <v>268</v>
      </c>
      <c r="J41">
        <v>18</v>
      </c>
      <c r="K41">
        <v>8.6599253100000002</v>
      </c>
      <c r="L41">
        <v>7</v>
      </c>
      <c r="M41" t="s">
        <v>119</v>
      </c>
      <c r="N41">
        <v>5</v>
      </c>
      <c r="O41">
        <v>36</v>
      </c>
      <c r="P41">
        <v>135</v>
      </c>
      <c r="Q41">
        <v>25</v>
      </c>
      <c r="R41" t="s">
        <v>272</v>
      </c>
      <c r="S41" s="3" t="s">
        <v>90</v>
      </c>
      <c r="T41" s="3">
        <f t="shared" si="0"/>
        <v>1</v>
      </c>
      <c r="U41" t="s">
        <v>96</v>
      </c>
      <c r="V41" t="s">
        <v>142</v>
      </c>
      <c r="W41" t="s">
        <v>148</v>
      </c>
      <c r="X41">
        <v>0</v>
      </c>
      <c r="Y41" t="s">
        <v>143</v>
      </c>
      <c r="Z41" t="s">
        <v>144</v>
      </c>
      <c r="AA41" t="s">
        <v>63</v>
      </c>
      <c r="AB41" t="s">
        <v>64</v>
      </c>
      <c r="AC41">
        <v>3</v>
      </c>
      <c r="AD41">
        <v>0</v>
      </c>
      <c r="AE41">
        <v>0</v>
      </c>
      <c r="AF41">
        <v>0</v>
      </c>
      <c r="AG41">
        <v>1</v>
      </c>
      <c r="AH41">
        <v>1</v>
      </c>
      <c r="AI41">
        <v>1</v>
      </c>
      <c r="AJ41" t="s">
        <v>267</v>
      </c>
      <c r="AK41" t="s">
        <v>269</v>
      </c>
      <c r="AL41" t="s">
        <v>270</v>
      </c>
      <c r="AM41" t="str">
        <f t="shared" si="1"/>
        <v>2020-2027</v>
      </c>
      <c r="AN41">
        <f t="shared" si="2"/>
        <v>7</v>
      </c>
    </row>
    <row r="42" spans="1:40" x14ac:dyDescent="0.2">
      <c r="A42">
        <v>41</v>
      </c>
      <c r="B42" t="s">
        <v>273</v>
      </c>
      <c r="C42" t="s">
        <v>1718</v>
      </c>
      <c r="D42" t="s">
        <v>60</v>
      </c>
      <c r="E42" t="s">
        <v>150</v>
      </c>
      <c r="F42" t="s">
        <v>151</v>
      </c>
      <c r="G42">
        <v>198</v>
      </c>
      <c r="H42">
        <v>105.99226904</v>
      </c>
      <c r="I42" t="s">
        <v>140</v>
      </c>
      <c r="J42">
        <v>67</v>
      </c>
      <c r="K42">
        <v>11.30580372</v>
      </c>
      <c r="L42">
        <v>18</v>
      </c>
      <c r="M42" t="s">
        <v>67</v>
      </c>
      <c r="N42">
        <v>36</v>
      </c>
      <c r="O42">
        <v>258</v>
      </c>
      <c r="P42">
        <v>2099</v>
      </c>
      <c r="Q42">
        <v>26</v>
      </c>
      <c r="R42" t="s">
        <v>275</v>
      </c>
      <c r="S42" s="3" t="s">
        <v>90</v>
      </c>
      <c r="T42" s="3">
        <f t="shared" si="0"/>
        <v>1</v>
      </c>
      <c r="U42" t="s">
        <v>96</v>
      </c>
      <c r="V42" t="s">
        <v>142</v>
      </c>
      <c r="W42" t="s">
        <v>148</v>
      </c>
      <c r="X42">
        <v>0</v>
      </c>
      <c r="Y42" t="s">
        <v>143</v>
      </c>
      <c r="Z42" t="s">
        <v>144</v>
      </c>
      <c r="AA42" t="s">
        <v>43</v>
      </c>
      <c r="AB42" t="s">
        <v>201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 t="s">
        <v>274</v>
      </c>
      <c r="AK42" t="s">
        <v>65</v>
      </c>
      <c r="AL42" t="s">
        <v>66</v>
      </c>
      <c r="AM42" t="str">
        <f t="shared" si="1"/>
        <v>2024-2027</v>
      </c>
      <c r="AN42">
        <f t="shared" si="2"/>
        <v>3</v>
      </c>
    </row>
    <row r="43" spans="1:40" x14ac:dyDescent="0.2">
      <c r="A43">
        <v>42</v>
      </c>
      <c r="B43" t="s">
        <v>276</v>
      </c>
      <c r="C43" t="s">
        <v>1717</v>
      </c>
      <c r="D43" t="s">
        <v>60</v>
      </c>
      <c r="E43" t="s">
        <v>150</v>
      </c>
      <c r="F43" t="s">
        <v>151</v>
      </c>
      <c r="G43">
        <v>54</v>
      </c>
      <c r="H43">
        <v>24.290139579999991</v>
      </c>
      <c r="I43" t="s">
        <v>140</v>
      </c>
      <c r="J43">
        <v>45</v>
      </c>
      <c r="K43">
        <v>21.03511619</v>
      </c>
      <c r="L43">
        <v>11</v>
      </c>
      <c r="M43" t="s">
        <v>67</v>
      </c>
      <c r="N43">
        <v>12</v>
      </c>
      <c r="O43">
        <v>61</v>
      </c>
      <c r="P43">
        <v>328</v>
      </c>
      <c r="Q43">
        <v>27</v>
      </c>
      <c r="R43" t="s">
        <v>278</v>
      </c>
      <c r="S43" s="3" t="s">
        <v>90</v>
      </c>
      <c r="T43" s="3">
        <f t="shared" si="0"/>
        <v>1</v>
      </c>
      <c r="U43" t="s">
        <v>96</v>
      </c>
      <c r="V43" t="s">
        <v>142</v>
      </c>
      <c r="W43" t="s">
        <v>220</v>
      </c>
      <c r="X43">
        <v>0</v>
      </c>
      <c r="Y43" t="s">
        <v>41</v>
      </c>
      <c r="Z43" t="s">
        <v>219</v>
      </c>
      <c r="AA43" t="s">
        <v>43</v>
      </c>
      <c r="AB43" t="s">
        <v>81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 t="s">
        <v>277</v>
      </c>
      <c r="AK43" t="s">
        <v>65</v>
      </c>
      <c r="AL43" t="s">
        <v>66</v>
      </c>
      <c r="AM43" t="str">
        <f t="shared" si="1"/>
        <v>2024-2027</v>
      </c>
      <c r="AN43">
        <f t="shared" si="2"/>
        <v>3</v>
      </c>
    </row>
    <row r="44" spans="1:40" x14ac:dyDescent="0.2">
      <c r="A44">
        <v>43</v>
      </c>
      <c r="B44" t="s">
        <v>279</v>
      </c>
      <c r="C44" t="s">
        <v>1717</v>
      </c>
      <c r="D44" t="s">
        <v>60</v>
      </c>
      <c r="E44" t="s">
        <v>68</v>
      </c>
      <c r="F44" t="s">
        <v>282</v>
      </c>
      <c r="G44">
        <v>78</v>
      </c>
      <c r="H44">
        <v>34.636348769999977</v>
      </c>
      <c r="I44" t="s">
        <v>281</v>
      </c>
      <c r="J44">
        <v>54</v>
      </c>
      <c r="K44">
        <v>13.145584853000001</v>
      </c>
      <c r="L44">
        <v>20</v>
      </c>
      <c r="M44" t="s">
        <v>67</v>
      </c>
      <c r="N44">
        <v>34</v>
      </c>
      <c r="O44">
        <v>96</v>
      </c>
      <c r="P44">
        <v>1195</v>
      </c>
      <c r="Q44">
        <v>27</v>
      </c>
      <c r="R44" t="s">
        <v>278</v>
      </c>
      <c r="S44" s="3" t="s">
        <v>90</v>
      </c>
      <c r="T44" s="3">
        <f t="shared" si="0"/>
        <v>1</v>
      </c>
      <c r="U44" t="s">
        <v>96</v>
      </c>
      <c r="V44" t="s">
        <v>142</v>
      </c>
      <c r="W44" t="s">
        <v>220</v>
      </c>
      <c r="X44">
        <v>0</v>
      </c>
      <c r="Y44" t="s">
        <v>41</v>
      </c>
      <c r="Z44" t="s">
        <v>219</v>
      </c>
      <c r="AA44" t="s">
        <v>43</v>
      </c>
      <c r="AB44" t="s">
        <v>81</v>
      </c>
      <c r="AC44">
        <v>2</v>
      </c>
      <c r="AD44">
        <v>0</v>
      </c>
      <c r="AE44">
        <v>0</v>
      </c>
      <c r="AF44">
        <v>1</v>
      </c>
      <c r="AG44">
        <v>1</v>
      </c>
      <c r="AH44">
        <v>0</v>
      </c>
      <c r="AI44">
        <v>0</v>
      </c>
      <c r="AJ44" t="s">
        <v>280</v>
      </c>
      <c r="AK44" t="s">
        <v>193</v>
      </c>
      <c r="AL44" t="s">
        <v>194</v>
      </c>
      <c r="AM44" t="str">
        <f t="shared" si="1"/>
        <v>2018-2021</v>
      </c>
      <c r="AN44">
        <f t="shared" si="2"/>
        <v>3</v>
      </c>
    </row>
    <row r="45" spans="1:40" x14ac:dyDescent="0.2">
      <c r="A45">
        <v>44</v>
      </c>
      <c r="B45" t="s">
        <v>283</v>
      </c>
      <c r="C45" t="s">
        <v>1717</v>
      </c>
      <c r="D45" t="s">
        <v>285</v>
      </c>
      <c r="E45" t="s">
        <v>98</v>
      </c>
      <c r="F45" t="s">
        <v>99</v>
      </c>
      <c r="G45">
        <v>23</v>
      </c>
      <c r="H45">
        <v>10.091452759999999</v>
      </c>
      <c r="I45" t="s">
        <v>88</v>
      </c>
      <c r="J45">
        <v>22</v>
      </c>
      <c r="K45">
        <v>12.38069312</v>
      </c>
      <c r="L45">
        <v>7</v>
      </c>
      <c r="M45" t="s">
        <v>119</v>
      </c>
      <c r="N45">
        <v>5</v>
      </c>
      <c r="O45">
        <v>41</v>
      </c>
      <c r="P45">
        <v>153</v>
      </c>
      <c r="Q45">
        <v>27</v>
      </c>
      <c r="R45" t="s">
        <v>278</v>
      </c>
      <c r="S45" s="3" t="s">
        <v>90</v>
      </c>
      <c r="T45" s="3">
        <f t="shared" si="0"/>
        <v>1</v>
      </c>
      <c r="U45" t="s">
        <v>96</v>
      </c>
      <c r="V45" t="s">
        <v>142</v>
      </c>
      <c r="W45" t="s">
        <v>220</v>
      </c>
      <c r="X45">
        <v>0</v>
      </c>
      <c r="Y45" t="s">
        <v>41</v>
      </c>
      <c r="Z45" t="s">
        <v>219</v>
      </c>
      <c r="AA45" t="s">
        <v>43</v>
      </c>
      <c r="AB45" t="s">
        <v>81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 t="s">
        <v>284</v>
      </c>
      <c r="AK45" t="s">
        <v>125</v>
      </c>
      <c r="AL45" t="s">
        <v>126</v>
      </c>
      <c r="AM45" t="str">
        <f t="shared" si="1"/>
        <v>2022-2024</v>
      </c>
      <c r="AN45">
        <f t="shared" si="2"/>
        <v>2</v>
      </c>
    </row>
    <row r="46" spans="1:40" x14ac:dyDescent="0.2">
      <c r="A46">
        <v>45</v>
      </c>
      <c r="B46" t="s">
        <v>286</v>
      </c>
      <c r="C46" t="s">
        <v>1717</v>
      </c>
      <c r="D46" t="s">
        <v>37</v>
      </c>
      <c r="E46" t="s">
        <v>68</v>
      </c>
      <c r="F46" t="s">
        <v>291</v>
      </c>
      <c r="G46">
        <v>56</v>
      </c>
      <c r="H46">
        <v>16.128582861000002</v>
      </c>
      <c r="I46" t="s">
        <v>288</v>
      </c>
      <c r="J46">
        <v>52</v>
      </c>
      <c r="K46">
        <v>35.841763899999989</v>
      </c>
      <c r="L46">
        <v>11</v>
      </c>
      <c r="M46" t="s">
        <v>67</v>
      </c>
      <c r="N46">
        <v>14</v>
      </c>
      <c r="O46">
        <v>64</v>
      </c>
      <c r="P46">
        <v>321</v>
      </c>
      <c r="Q46">
        <v>28</v>
      </c>
      <c r="R46" t="s">
        <v>292</v>
      </c>
      <c r="S46" s="3" t="s">
        <v>90</v>
      </c>
      <c r="T46" s="3">
        <f t="shared" si="0"/>
        <v>1</v>
      </c>
      <c r="U46" t="s">
        <v>96</v>
      </c>
      <c r="V46" t="s">
        <v>142</v>
      </c>
      <c r="W46" t="s">
        <v>220</v>
      </c>
      <c r="X46">
        <v>0</v>
      </c>
      <c r="Y46" t="s">
        <v>41</v>
      </c>
      <c r="Z46" t="s">
        <v>219</v>
      </c>
      <c r="AA46" t="s">
        <v>43</v>
      </c>
      <c r="AB46" t="s">
        <v>81</v>
      </c>
      <c r="AC46">
        <v>5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1</v>
      </c>
      <c r="AJ46" t="s">
        <v>287</v>
      </c>
      <c r="AK46" t="s">
        <v>289</v>
      </c>
      <c r="AL46" t="s">
        <v>290</v>
      </c>
      <c r="AM46" t="str">
        <f t="shared" si="1"/>
        <v>2016-2027</v>
      </c>
      <c r="AN46">
        <f t="shared" si="2"/>
        <v>11</v>
      </c>
    </row>
    <row r="47" spans="1:40" x14ac:dyDescent="0.2">
      <c r="A47">
        <v>46</v>
      </c>
      <c r="B47" t="s">
        <v>293</v>
      </c>
      <c r="C47" t="s">
        <v>1717</v>
      </c>
      <c r="D47" t="s">
        <v>72</v>
      </c>
      <c r="E47" t="s">
        <v>68</v>
      </c>
      <c r="F47" t="s">
        <v>298</v>
      </c>
      <c r="G47">
        <v>42</v>
      </c>
      <c r="H47">
        <v>15.77114752</v>
      </c>
      <c r="I47" t="s">
        <v>295</v>
      </c>
      <c r="J47">
        <v>27</v>
      </c>
      <c r="K47">
        <v>12.497538884000001</v>
      </c>
      <c r="L47">
        <v>7</v>
      </c>
      <c r="M47" t="s">
        <v>119</v>
      </c>
      <c r="N47">
        <v>6</v>
      </c>
      <c r="O47">
        <v>68</v>
      </c>
      <c r="P47">
        <v>162</v>
      </c>
      <c r="Q47">
        <v>29</v>
      </c>
      <c r="R47" t="s">
        <v>296</v>
      </c>
      <c r="S47" s="3" t="s">
        <v>90</v>
      </c>
      <c r="T47" s="3">
        <f t="shared" si="0"/>
        <v>1</v>
      </c>
      <c r="U47" t="s">
        <v>96</v>
      </c>
      <c r="V47" t="s">
        <v>142</v>
      </c>
      <c r="W47" t="s">
        <v>148</v>
      </c>
      <c r="X47">
        <v>0</v>
      </c>
      <c r="Y47" t="s">
        <v>143</v>
      </c>
      <c r="Z47" t="s">
        <v>144</v>
      </c>
      <c r="AA47" t="s">
        <v>191</v>
      </c>
      <c r="AB47" t="s">
        <v>297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 t="s">
        <v>294</v>
      </c>
      <c r="AK47" t="s">
        <v>65</v>
      </c>
      <c r="AL47" t="s">
        <v>66</v>
      </c>
      <c r="AM47" t="str">
        <f t="shared" si="1"/>
        <v>2024-2027</v>
      </c>
      <c r="AN47">
        <f t="shared" si="2"/>
        <v>3</v>
      </c>
    </row>
    <row r="48" spans="1:40" x14ac:dyDescent="0.2">
      <c r="A48">
        <v>47</v>
      </c>
      <c r="B48" t="s">
        <v>299</v>
      </c>
      <c r="C48" t="s">
        <v>1717</v>
      </c>
      <c r="D48" t="s">
        <v>60</v>
      </c>
      <c r="E48" t="s">
        <v>68</v>
      </c>
      <c r="F48" t="s">
        <v>303</v>
      </c>
      <c r="G48">
        <v>166</v>
      </c>
      <c r="H48">
        <v>91.687192429999925</v>
      </c>
      <c r="I48" t="s">
        <v>301</v>
      </c>
      <c r="J48">
        <v>60</v>
      </c>
      <c r="K48">
        <v>21.038367420000011</v>
      </c>
      <c r="L48">
        <v>17</v>
      </c>
      <c r="M48" t="s">
        <v>67</v>
      </c>
      <c r="N48">
        <v>32</v>
      </c>
      <c r="O48">
        <v>195</v>
      </c>
      <c r="P48">
        <v>961</v>
      </c>
      <c r="Q48">
        <v>30</v>
      </c>
      <c r="R48" t="s">
        <v>302</v>
      </c>
      <c r="S48" s="3" t="s">
        <v>90</v>
      </c>
      <c r="T48" s="3">
        <f t="shared" si="0"/>
        <v>1</v>
      </c>
      <c r="U48" t="s">
        <v>96</v>
      </c>
      <c r="V48" t="s">
        <v>142</v>
      </c>
      <c r="W48" t="s">
        <v>148</v>
      </c>
      <c r="X48">
        <v>0</v>
      </c>
      <c r="Y48" t="s">
        <v>143</v>
      </c>
      <c r="Z48" t="s">
        <v>144</v>
      </c>
      <c r="AA48" t="s">
        <v>224</v>
      </c>
      <c r="AB48" t="s">
        <v>225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1</v>
      </c>
      <c r="AJ48" t="s">
        <v>300</v>
      </c>
      <c r="AK48" t="s">
        <v>55</v>
      </c>
      <c r="AL48" t="s">
        <v>56</v>
      </c>
      <c r="AM48" t="str">
        <f t="shared" si="1"/>
        <v>2022-2027</v>
      </c>
      <c r="AN48">
        <f t="shared" si="2"/>
        <v>5</v>
      </c>
    </row>
    <row r="49" spans="1:40" x14ac:dyDescent="0.2">
      <c r="A49">
        <v>48</v>
      </c>
      <c r="B49" t="s">
        <v>304</v>
      </c>
      <c r="C49" t="s">
        <v>1717</v>
      </c>
      <c r="D49" t="s">
        <v>114</v>
      </c>
      <c r="E49" t="s">
        <v>68</v>
      </c>
      <c r="F49" t="s">
        <v>307</v>
      </c>
      <c r="G49">
        <v>54</v>
      </c>
      <c r="H49">
        <v>35.301612949999999</v>
      </c>
      <c r="I49" t="s">
        <v>306</v>
      </c>
      <c r="J49">
        <v>43</v>
      </c>
      <c r="K49">
        <v>21.522645489999999</v>
      </c>
      <c r="L49">
        <v>18</v>
      </c>
      <c r="M49" t="s">
        <v>67</v>
      </c>
      <c r="N49">
        <v>26</v>
      </c>
      <c r="O49">
        <v>62</v>
      </c>
      <c r="P49">
        <v>942</v>
      </c>
      <c r="Q49">
        <v>31</v>
      </c>
      <c r="R49" t="s">
        <v>308</v>
      </c>
      <c r="S49" s="3" t="s">
        <v>141</v>
      </c>
      <c r="T49" s="3">
        <f t="shared" si="0"/>
        <v>1</v>
      </c>
      <c r="U49" t="s">
        <v>149</v>
      </c>
      <c r="V49" t="s">
        <v>142</v>
      </c>
      <c r="W49" t="s">
        <v>148</v>
      </c>
      <c r="X49">
        <v>0</v>
      </c>
      <c r="Y49" t="s">
        <v>143</v>
      </c>
      <c r="Z49" t="s">
        <v>144</v>
      </c>
      <c r="AA49" t="s">
        <v>43</v>
      </c>
      <c r="AB49" t="s">
        <v>81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 t="s">
        <v>305</v>
      </c>
      <c r="AK49" t="s">
        <v>65</v>
      </c>
      <c r="AL49" t="s">
        <v>66</v>
      </c>
      <c r="AM49" t="str">
        <f t="shared" si="1"/>
        <v>2024-2027</v>
      </c>
      <c r="AN49">
        <f t="shared" si="2"/>
        <v>3</v>
      </c>
    </row>
    <row r="50" spans="1:40" x14ac:dyDescent="0.2">
      <c r="A50">
        <v>49</v>
      </c>
      <c r="B50" t="s">
        <v>309</v>
      </c>
      <c r="C50" t="s">
        <v>1718</v>
      </c>
      <c r="D50" t="s">
        <v>60</v>
      </c>
      <c r="E50" t="s">
        <v>68</v>
      </c>
      <c r="F50" t="s">
        <v>313</v>
      </c>
      <c r="G50">
        <v>123</v>
      </c>
      <c r="H50">
        <v>53.276661734999983</v>
      </c>
      <c r="I50" t="s">
        <v>311</v>
      </c>
      <c r="J50">
        <v>57</v>
      </c>
      <c r="K50">
        <v>22.274506455000001</v>
      </c>
      <c r="L50">
        <v>21</v>
      </c>
      <c r="M50" t="s">
        <v>49</v>
      </c>
      <c r="N50">
        <v>53</v>
      </c>
      <c r="O50">
        <v>140</v>
      </c>
      <c r="P50">
        <v>2005</v>
      </c>
      <c r="Q50">
        <v>32</v>
      </c>
      <c r="R50" t="s">
        <v>312</v>
      </c>
      <c r="T50" s="3">
        <f t="shared" si="0"/>
        <v>0</v>
      </c>
      <c r="U50" t="s">
        <v>48</v>
      </c>
      <c r="V50" t="s">
        <v>40</v>
      </c>
      <c r="W50" t="s">
        <v>1719</v>
      </c>
      <c r="X50">
        <v>0</v>
      </c>
      <c r="Y50" t="s">
        <v>42</v>
      </c>
      <c r="Z50" t="s">
        <v>40</v>
      </c>
      <c r="AA50" t="s">
        <v>43</v>
      </c>
      <c r="AB50" t="s">
        <v>118</v>
      </c>
      <c r="AC50">
        <v>1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 t="s">
        <v>310</v>
      </c>
      <c r="AK50" t="s">
        <v>93</v>
      </c>
      <c r="AL50" t="s">
        <v>94</v>
      </c>
      <c r="AM50" t="str">
        <f t="shared" si="1"/>
        <v>2020-2021</v>
      </c>
      <c r="AN50">
        <f t="shared" si="2"/>
        <v>1</v>
      </c>
    </row>
    <row r="51" spans="1:40" x14ac:dyDescent="0.2">
      <c r="A51">
        <v>50</v>
      </c>
      <c r="B51" t="s">
        <v>314</v>
      </c>
      <c r="C51" t="s">
        <v>1717</v>
      </c>
      <c r="D51" t="s">
        <v>231</v>
      </c>
      <c r="E51" t="s">
        <v>98</v>
      </c>
      <c r="F51" t="s">
        <v>99</v>
      </c>
      <c r="G51">
        <v>39</v>
      </c>
      <c r="H51">
        <v>15.532965320000001</v>
      </c>
      <c r="I51" t="s">
        <v>88</v>
      </c>
      <c r="J51">
        <v>38</v>
      </c>
      <c r="K51">
        <v>20.36432005</v>
      </c>
      <c r="L51">
        <v>7</v>
      </c>
      <c r="M51" t="s">
        <v>119</v>
      </c>
      <c r="N51">
        <v>5</v>
      </c>
      <c r="O51">
        <v>87</v>
      </c>
      <c r="P51">
        <v>152</v>
      </c>
      <c r="Q51">
        <v>33</v>
      </c>
      <c r="R51" t="s">
        <v>316</v>
      </c>
      <c r="T51" s="3">
        <f t="shared" si="0"/>
        <v>0</v>
      </c>
      <c r="U51" t="s">
        <v>48</v>
      </c>
      <c r="V51" t="s">
        <v>40</v>
      </c>
      <c r="W51" t="s">
        <v>1719</v>
      </c>
      <c r="X51">
        <v>0</v>
      </c>
      <c r="Y51" t="s">
        <v>42</v>
      </c>
      <c r="Z51" t="s">
        <v>40</v>
      </c>
      <c r="AA51" t="s">
        <v>63</v>
      </c>
      <c r="AB51" t="s">
        <v>317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</v>
      </c>
      <c r="AJ51" t="s">
        <v>315</v>
      </c>
      <c r="AK51" t="s">
        <v>55</v>
      </c>
      <c r="AL51" t="s">
        <v>56</v>
      </c>
      <c r="AM51" t="str">
        <f t="shared" si="1"/>
        <v>2022-2027</v>
      </c>
      <c r="AN51">
        <f t="shared" si="2"/>
        <v>5</v>
      </c>
    </row>
    <row r="52" spans="1:40" x14ac:dyDescent="0.2">
      <c r="A52">
        <v>51</v>
      </c>
      <c r="B52" t="s">
        <v>318</v>
      </c>
      <c r="C52" t="s">
        <v>1718</v>
      </c>
      <c r="D52" t="s">
        <v>231</v>
      </c>
      <c r="E52" t="s">
        <v>98</v>
      </c>
      <c r="F52" t="s">
        <v>99</v>
      </c>
      <c r="G52">
        <v>10</v>
      </c>
      <c r="H52">
        <v>4.5982240599999997</v>
      </c>
      <c r="I52" t="s">
        <v>88</v>
      </c>
      <c r="J52">
        <v>13</v>
      </c>
      <c r="K52">
        <v>5.8154747100000002</v>
      </c>
      <c r="L52">
        <v>2</v>
      </c>
      <c r="M52" t="s">
        <v>97</v>
      </c>
      <c r="N52">
        <v>2</v>
      </c>
      <c r="O52">
        <v>21</v>
      </c>
      <c r="P52">
        <v>42</v>
      </c>
      <c r="Q52">
        <v>33</v>
      </c>
      <c r="R52" t="s">
        <v>316</v>
      </c>
      <c r="T52" s="3">
        <f t="shared" si="0"/>
        <v>0</v>
      </c>
      <c r="U52" t="s">
        <v>48</v>
      </c>
      <c r="V52" t="s">
        <v>40</v>
      </c>
      <c r="W52" t="s">
        <v>1719</v>
      </c>
      <c r="X52">
        <v>0</v>
      </c>
      <c r="Y52" t="s">
        <v>42</v>
      </c>
      <c r="Z52" t="s">
        <v>40</v>
      </c>
      <c r="AA52" t="s">
        <v>63</v>
      </c>
      <c r="AB52" t="s">
        <v>317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 t="s">
        <v>319</v>
      </c>
      <c r="AK52" t="s">
        <v>320</v>
      </c>
      <c r="AL52" t="s">
        <v>321</v>
      </c>
      <c r="AM52" t="str">
        <f t="shared" si="1"/>
        <v>2016-2018</v>
      </c>
      <c r="AN52">
        <f t="shared" si="2"/>
        <v>2</v>
      </c>
    </row>
    <row r="53" spans="1:40" x14ac:dyDescent="0.2">
      <c r="A53">
        <v>52</v>
      </c>
      <c r="B53" t="s">
        <v>322</v>
      </c>
      <c r="C53" t="s">
        <v>1717</v>
      </c>
      <c r="D53" t="s">
        <v>231</v>
      </c>
      <c r="E53" t="s">
        <v>98</v>
      </c>
      <c r="F53" t="s">
        <v>99</v>
      </c>
      <c r="G53">
        <v>1</v>
      </c>
      <c r="H53">
        <v>0.53674120000000003</v>
      </c>
      <c r="I53" t="s">
        <v>88</v>
      </c>
      <c r="J53">
        <v>1</v>
      </c>
      <c r="K53">
        <v>0.72552633</v>
      </c>
      <c r="L53">
        <v>0</v>
      </c>
      <c r="M53" t="s">
        <v>137</v>
      </c>
      <c r="N53">
        <v>0</v>
      </c>
      <c r="O53">
        <v>1</v>
      </c>
      <c r="P53">
        <v>0</v>
      </c>
      <c r="Q53">
        <v>33</v>
      </c>
      <c r="R53" t="s">
        <v>316</v>
      </c>
      <c r="T53" s="3">
        <f t="shared" si="0"/>
        <v>0</v>
      </c>
      <c r="U53" t="s">
        <v>48</v>
      </c>
      <c r="V53" t="s">
        <v>40</v>
      </c>
      <c r="W53" t="s">
        <v>1719</v>
      </c>
      <c r="X53">
        <v>0</v>
      </c>
      <c r="Y53" t="s">
        <v>42</v>
      </c>
      <c r="Z53" t="s">
        <v>40</v>
      </c>
      <c r="AA53" t="s">
        <v>63</v>
      </c>
      <c r="AB53" t="s">
        <v>317</v>
      </c>
      <c r="AC53">
        <v>2</v>
      </c>
      <c r="AD53">
        <v>0</v>
      </c>
      <c r="AE53">
        <v>0</v>
      </c>
      <c r="AF53">
        <v>1</v>
      </c>
      <c r="AG53">
        <v>1</v>
      </c>
      <c r="AH53">
        <v>0</v>
      </c>
      <c r="AI53">
        <v>0</v>
      </c>
      <c r="AJ53" t="s">
        <v>323</v>
      </c>
      <c r="AK53" t="s">
        <v>193</v>
      </c>
      <c r="AL53" t="s">
        <v>194</v>
      </c>
      <c r="AM53" t="str">
        <f t="shared" si="1"/>
        <v>2018-2021</v>
      </c>
      <c r="AN53">
        <f t="shared" si="2"/>
        <v>3</v>
      </c>
    </row>
    <row r="54" spans="1:40" x14ac:dyDescent="0.2">
      <c r="A54">
        <v>53</v>
      </c>
      <c r="B54" t="s">
        <v>324</v>
      </c>
      <c r="C54" t="s">
        <v>1717</v>
      </c>
      <c r="D54" t="s">
        <v>72</v>
      </c>
      <c r="E54" t="s">
        <v>68</v>
      </c>
      <c r="F54" t="s">
        <v>329</v>
      </c>
      <c r="G54">
        <v>300</v>
      </c>
      <c r="H54">
        <v>166.8177681600001</v>
      </c>
      <c r="I54" t="s">
        <v>326</v>
      </c>
      <c r="J54">
        <v>309</v>
      </c>
      <c r="K54">
        <v>154.83029017499999</v>
      </c>
      <c r="L54">
        <v>66</v>
      </c>
      <c r="M54" t="s">
        <v>49</v>
      </c>
      <c r="N54">
        <v>292</v>
      </c>
      <c r="O54">
        <v>386</v>
      </c>
      <c r="P54">
        <v>15872</v>
      </c>
      <c r="Q54">
        <v>34</v>
      </c>
      <c r="R54" t="s">
        <v>330</v>
      </c>
      <c r="T54" s="3">
        <f t="shared" si="0"/>
        <v>0</v>
      </c>
      <c r="U54" t="s">
        <v>48</v>
      </c>
      <c r="V54" t="s">
        <v>40</v>
      </c>
      <c r="W54" t="s">
        <v>1719</v>
      </c>
      <c r="X54">
        <v>0</v>
      </c>
      <c r="Y54" t="s">
        <v>42</v>
      </c>
      <c r="Z54" t="s">
        <v>40</v>
      </c>
      <c r="AA54" t="s">
        <v>43</v>
      </c>
      <c r="AB54" t="s">
        <v>44</v>
      </c>
      <c r="AC54">
        <v>3</v>
      </c>
      <c r="AD54">
        <v>0</v>
      </c>
      <c r="AE54">
        <v>0</v>
      </c>
      <c r="AF54">
        <v>1</v>
      </c>
      <c r="AG54">
        <v>1</v>
      </c>
      <c r="AH54">
        <v>1</v>
      </c>
      <c r="AI54">
        <v>0</v>
      </c>
      <c r="AJ54" t="s">
        <v>325</v>
      </c>
      <c r="AK54" t="s">
        <v>327</v>
      </c>
      <c r="AL54" t="s">
        <v>328</v>
      </c>
      <c r="AM54" t="str">
        <f t="shared" si="1"/>
        <v>2018-2024</v>
      </c>
      <c r="AN54">
        <f t="shared" si="2"/>
        <v>6</v>
      </c>
    </row>
    <row r="55" spans="1:40" x14ac:dyDescent="0.2">
      <c r="A55">
        <v>54</v>
      </c>
      <c r="B55" t="s">
        <v>331</v>
      </c>
      <c r="C55" t="s">
        <v>1718</v>
      </c>
      <c r="D55" t="s">
        <v>60</v>
      </c>
      <c r="E55" t="s">
        <v>98</v>
      </c>
      <c r="F55" t="s">
        <v>99</v>
      </c>
      <c r="G55">
        <v>74</v>
      </c>
      <c r="H55">
        <v>33.309387569999998</v>
      </c>
      <c r="I55" t="s">
        <v>88</v>
      </c>
      <c r="J55">
        <v>42</v>
      </c>
      <c r="K55">
        <v>19.63336236</v>
      </c>
      <c r="L55">
        <v>11</v>
      </c>
      <c r="M55" t="s">
        <v>67</v>
      </c>
      <c r="N55">
        <v>13</v>
      </c>
      <c r="O55">
        <v>122</v>
      </c>
      <c r="P55">
        <v>472</v>
      </c>
      <c r="Q55">
        <v>35</v>
      </c>
      <c r="R55" t="s">
        <v>333</v>
      </c>
      <c r="S55" s="3" t="s">
        <v>117</v>
      </c>
      <c r="T55" s="3">
        <f t="shared" si="0"/>
        <v>1</v>
      </c>
      <c r="U55" t="s">
        <v>96</v>
      </c>
      <c r="V55" t="s">
        <v>142</v>
      </c>
      <c r="W55" t="s">
        <v>95</v>
      </c>
      <c r="X55">
        <v>0</v>
      </c>
      <c r="Y55" t="s">
        <v>41</v>
      </c>
      <c r="Z55" t="s">
        <v>92</v>
      </c>
      <c r="AA55" t="s">
        <v>224</v>
      </c>
      <c r="AB55" t="s">
        <v>234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 t="s">
        <v>332</v>
      </c>
      <c r="AK55" t="s">
        <v>65</v>
      </c>
      <c r="AL55" t="s">
        <v>66</v>
      </c>
      <c r="AM55" t="str">
        <f t="shared" si="1"/>
        <v>2024-2027</v>
      </c>
      <c r="AN55">
        <f t="shared" si="2"/>
        <v>3</v>
      </c>
    </row>
    <row r="56" spans="1:40" x14ac:dyDescent="0.2">
      <c r="A56">
        <v>55</v>
      </c>
      <c r="B56" t="s">
        <v>334</v>
      </c>
      <c r="C56" t="s">
        <v>1717</v>
      </c>
      <c r="D56" t="s">
        <v>60</v>
      </c>
      <c r="E56" t="s">
        <v>68</v>
      </c>
      <c r="F56" t="s">
        <v>313</v>
      </c>
      <c r="G56">
        <v>484</v>
      </c>
      <c r="H56">
        <v>193.676669202</v>
      </c>
      <c r="I56" t="s">
        <v>311</v>
      </c>
      <c r="J56">
        <v>311</v>
      </c>
      <c r="K56">
        <v>144.2135549760001</v>
      </c>
      <c r="L56">
        <v>62</v>
      </c>
      <c r="M56" t="s">
        <v>49</v>
      </c>
      <c r="N56">
        <v>328</v>
      </c>
      <c r="O56">
        <v>596</v>
      </c>
      <c r="P56">
        <v>15216</v>
      </c>
      <c r="Q56">
        <v>36</v>
      </c>
      <c r="R56" t="s">
        <v>336</v>
      </c>
      <c r="S56" s="3">
        <v>4</v>
      </c>
      <c r="T56" s="3">
        <f t="shared" si="0"/>
        <v>1</v>
      </c>
      <c r="U56" t="s">
        <v>96</v>
      </c>
      <c r="V56" t="s">
        <v>142</v>
      </c>
      <c r="W56" t="s">
        <v>95</v>
      </c>
      <c r="X56">
        <v>0</v>
      </c>
      <c r="Y56" t="s">
        <v>41</v>
      </c>
      <c r="Z56" t="s">
        <v>92</v>
      </c>
      <c r="AA56" t="s">
        <v>63</v>
      </c>
      <c r="AB56" t="s">
        <v>337</v>
      </c>
      <c r="AC56">
        <v>4</v>
      </c>
      <c r="AD56">
        <v>0</v>
      </c>
      <c r="AE56">
        <v>0</v>
      </c>
      <c r="AF56">
        <v>1</v>
      </c>
      <c r="AG56">
        <v>1</v>
      </c>
      <c r="AH56">
        <v>1</v>
      </c>
      <c r="AI56">
        <v>1</v>
      </c>
      <c r="AJ56" t="s">
        <v>335</v>
      </c>
      <c r="AK56" t="s">
        <v>146</v>
      </c>
      <c r="AL56" t="s">
        <v>147</v>
      </c>
      <c r="AM56" t="str">
        <f t="shared" si="1"/>
        <v>2018-2027</v>
      </c>
      <c r="AN56">
        <f t="shared" si="2"/>
        <v>9</v>
      </c>
    </row>
    <row r="57" spans="1:40" x14ac:dyDescent="0.2">
      <c r="A57">
        <v>56</v>
      </c>
      <c r="B57" t="s">
        <v>338</v>
      </c>
      <c r="C57" t="s">
        <v>1717</v>
      </c>
      <c r="D57" t="s">
        <v>37</v>
      </c>
      <c r="E57" t="s">
        <v>68</v>
      </c>
      <c r="F57" t="s">
        <v>342</v>
      </c>
      <c r="G57">
        <v>69</v>
      </c>
      <c r="H57">
        <v>27.3577406</v>
      </c>
      <c r="I57" t="s">
        <v>340</v>
      </c>
      <c r="J57">
        <v>46</v>
      </c>
      <c r="K57">
        <v>18.327546219999999</v>
      </c>
      <c r="L57">
        <v>12</v>
      </c>
      <c r="M57" t="s">
        <v>67</v>
      </c>
      <c r="N57">
        <v>15</v>
      </c>
      <c r="O57">
        <v>87</v>
      </c>
      <c r="P57">
        <v>498</v>
      </c>
      <c r="Q57">
        <v>37</v>
      </c>
      <c r="R57" t="s">
        <v>341</v>
      </c>
      <c r="S57" s="3">
        <v>4</v>
      </c>
      <c r="T57" s="3">
        <f t="shared" si="0"/>
        <v>1</v>
      </c>
      <c r="U57" t="s">
        <v>96</v>
      </c>
      <c r="V57" t="s">
        <v>142</v>
      </c>
      <c r="W57" t="s">
        <v>95</v>
      </c>
      <c r="X57">
        <v>0</v>
      </c>
      <c r="Y57" t="s">
        <v>41</v>
      </c>
      <c r="Z57" t="s">
        <v>92</v>
      </c>
      <c r="AA57" t="s">
        <v>224</v>
      </c>
      <c r="AB57" t="s">
        <v>234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 t="s">
        <v>339</v>
      </c>
      <c r="AK57" t="s">
        <v>320</v>
      </c>
      <c r="AL57" t="s">
        <v>321</v>
      </c>
      <c r="AM57" t="str">
        <f t="shared" si="1"/>
        <v>2016-2018</v>
      </c>
      <c r="AN57">
        <f t="shared" si="2"/>
        <v>2</v>
      </c>
    </row>
    <row r="58" spans="1:40" x14ac:dyDescent="0.2">
      <c r="A58">
        <v>57</v>
      </c>
      <c r="B58" t="s">
        <v>343</v>
      </c>
      <c r="C58" t="s">
        <v>1717</v>
      </c>
      <c r="D58" t="s">
        <v>231</v>
      </c>
      <c r="E58" t="s">
        <v>98</v>
      </c>
      <c r="F58" t="s">
        <v>99</v>
      </c>
      <c r="G58">
        <v>9</v>
      </c>
      <c r="H58">
        <v>3.9784148300000002</v>
      </c>
      <c r="I58" t="s">
        <v>88</v>
      </c>
      <c r="J58">
        <v>6</v>
      </c>
      <c r="K58">
        <v>3.33650986</v>
      </c>
      <c r="L58">
        <v>2</v>
      </c>
      <c r="M58" t="s">
        <v>97</v>
      </c>
      <c r="N58">
        <v>0</v>
      </c>
      <c r="O58">
        <v>12</v>
      </c>
      <c r="P58">
        <v>15</v>
      </c>
      <c r="Q58">
        <v>38</v>
      </c>
      <c r="R58" t="s">
        <v>345</v>
      </c>
      <c r="S58" s="3">
        <v>4</v>
      </c>
      <c r="T58" s="3">
        <f t="shared" si="0"/>
        <v>1</v>
      </c>
      <c r="U58" t="s">
        <v>96</v>
      </c>
      <c r="V58" t="s">
        <v>142</v>
      </c>
      <c r="W58" t="s">
        <v>162</v>
      </c>
      <c r="X58">
        <v>0</v>
      </c>
      <c r="Y58" t="s">
        <v>41</v>
      </c>
      <c r="Z58" t="s">
        <v>167</v>
      </c>
      <c r="AA58" t="s">
        <v>224</v>
      </c>
      <c r="AB58" t="s">
        <v>346</v>
      </c>
      <c r="AC58">
        <v>2</v>
      </c>
      <c r="AD58">
        <v>0</v>
      </c>
      <c r="AE58">
        <v>0</v>
      </c>
      <c r="AF58">
        <v>0</v>
      </c>
      <c r="AG58">
        <v>1</v>
      </c>
      <c r="AH58">
        <v>1</v>
      </c>
      <c r="AI58">
        <v>0</v>
      </c>
      <c r="AJ58" t="s">
        <v>344</v>
      </c>
      <c r="AK58" t="s">
        <v>213</v>
      </c>
      <c r="AL58" t="s">
        <v>214</v>
      </c>
      <c r="AM58" t="str">
        <f t="shared" si="1"/>
        <v>2020-2024</v>
      </c>
      <c r="AN58">
        <f t="shared" si="2"/>
        <v>4</v>
      </c>
    </row>
    <row r="59" spans="1:40" x14ac:dyDescent="0.2">
      <c r="A59">
        <v>58</v>
      </c>
      <c r="B59" t="s">
        <v>347</v>
      </c>
      <c r="C59" t="s">
        <v>1718</v>
      </c>
      <c r="D59" t="s">
        <v>72</v>
      </c>
      <c r="E59" t="s">
        <v>173</v>
      </c>
      <c r="F59" t="s">
        <v>351</v>
      </c>
      <c r="G59">
        <v>117</v>
      </c>
      <c r="H59">
        <v>66.250292959999967</v>
      </c>
      <c r="I59" t="s">
        <v>349</v>
      </c>
      <c r="J59">
        <v>98</v>
      </c>
      <c r="K59">
        <v>61.43671472999997</v>
      </c>
      <c r="L59">
        <v>23</v>
      </c>
      <c r="M59" t="s">
        <v>49</v>
      </c>
      <c r="N59">
        <v>58</v>
      </c>
      <c r="O59">
        <v>126</v>
      </c>
      <c r="P59">
        <v>2872</v>
      </c>
      <c r="Q59">
        <v>39</v>
      </c>
      <c r="R59" t="s">
        <v>350</v>
      </c>
      <c r="T59" s="3">
        <f t="shared" si="0"/>
        <v>0</v>
      </c>
      <c r="U59" t="s">
        <v>48</v>
      </c>
      <c r="V59" t="s">
        <v>40</v>
      </c>
      <c r="W59" t="s">
        <v>1719</v>
      </c>
      <c r="X59">
        <v>0</v>
      </c>
      <c r="Y59" t="s">
        <v>42</v>
      </c>
      <c r="Z59" t="s">
        <v>40</v>
      </c>
      <c r="AA59" t="s">
        <v>43</v>
      </c>
      <c r="AB59" t="s">
        <v>81</v>
      </c>
      <c r="AC59">
        <v>2</v>
      </c>
      <c r="AD59">
        <v>1</v>
      </c>
      <c r="AE59">
        <v>1</v>
      </c>
      <c r="AF59">
        <v>0</v>
      </c>
      <c r="AG59">
        <v>0</v>
      </c>
      <c r="AH59">
        <v>0</v>
      </c>
      <c r="AI59">
        <v>0</v>
      </c>
      <c r="AJ59" t="s">
        <v>348</v>
      </c>
      <c r="AK59" t="s">
        <v>82</v>
      </c>
      <c r="AL59" t="s">
        <v>83</v>
      </c>
      <c r="AM59" t="str">
        <f t="shared" si="1"/>
        <v>2014-2016</v>
      </c>
      <c r="AN59">
        <f t="shared" si="2"/>
        <v>2</v>
      </c>
    </row>
    <row r="60" spans="1:40" x14ac:dyDescent="0.2">
      <c r="A60">
        <v>59</v>
      </c>
      <c r="B60" t="s">
        <v>352</v>
      </c>
      <c r="C60" t="s">
        <v>1717</v>
      </c>
      <c r="D60" t="s">
        <v>60</v>
      </c>
      <c r="E60" t="s">
        <v>150</v>
      </c>
      <c r="F60" t="s">
        <v>151</v>
      </c>
      <c r="G60">
        <v>146</v>
      </c>
      <c r="H60">
        <v>65.646187807999965</v>
      </c>
      <c r="I60" t="s">
        <v>140</v>
      </c>
      <c r="J60">
        <v>73</v>
      </c>
      <c r="K60">
        <v>37.28011961</v>
      </c>
      <c r="L60">
        <v>25</v>
      </c>
      <c r="M60" t="s">
        <v>49</v>
      </c>
      <c r="N60">
        <v>51</v>
      </c>
      <c r="O60">
        <v>179</v>
      </c>
      <c r="P60">
        <v>1717</v>
      </c>
      <c r="Q60">
        <v>40</v>
      </c>
      <c r="R60" t="s">
        <v>354</v>
      </c>
      <c r="T60" s="3">
        <f t="shared" si="0"/>
        <v>0</v>
      </c>
      <c r="U60" t="s">
        <v>48</v>
      </c>
      <c r="V60" t="s">
        <v>40</v>
      </c>
      <c r="W60" t="s">
        <v>1719</v>
      </c>
      <c r="X60">
        <v>0</v>
      </c>
      <c r="Y60" t="s">
        <v>42</v>
      </c>
      <c r="Z60" t="s">
        <v>40</v>
      </c>
      <c r="AA60" t="s">
        <v>43</v>
      </c>
      <c r="AB60" t="s">
        <v>201</v>
      </c>
      <c r="AC60">
        <v>2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 t="s">
        <v>353</v>
      </c>
      <c r="AK60" t="s">
        <v>156</v>
      </c>
      <c r="AL60" t="s">
        <v>157</v>
      </c>
      <c r="AM60" t="str">
        <f t="shared" si="1"/>
        <v>2016-2020</v>
      </c>
      <c r="AN60">
        <f t="shared" si="2"/>
        <v>4</v>
      </c>
    </row>
    <row r="61" spans="1:40" x14ac:dyDescent="0.2">
      <c r="A61">
        <v>60</v>
      </c>
      <c r="B61" t="s">
        <v>355</v>
      </c>
      <c r="C61" t="s">
        <v>1717</v>
      </c>
      <c r="D61" t="s">
        <v>72</v>
      </c>
      <c r="E61" t="s">
        <v>68</v>
      </c>
      <c r="F61" t="s">
        <v>362</v>
      </c>
      <c r="G61">
        <v>48</v>
      </c>
      <c r="H61">
        <v>15.23733799</v>
      </c>
      <c r="I61" t="s">
        <v>357</v>
      </c>
      <c r="J61">
        <v>43</v>
      </c>
      <c r="K61">
        <v>17.754537116000002</v>
      </c>
      <c r="L61">
        <v>19</v>
      </c>
      <c r="M61" t="s">
        <v>67</v>
      </c>
      <c r="N61">
        <v>25</v>
      </c>
      <c r="O61">
        <v>58</v>
      </c>
      <c r="P61">
        <v>1405</v>
      </c>
      <c r="Q61">
        <v>41</v>
      </c>
      <c r="R61" t="s">
        <v>358</v>
      </c>
      <c r="T61" s="3">
        <f t="shared" si="0"/>
        <v>0</v>
      </c>
      <c r="U61" t="s">
        <v>48</v>
      </c>
      <c r="V61" t="s">
        <v>359</v>
      </c>
      <c r="W61" t="s">
        <v>47</v>
      </c>
      <c r="X61">
        <v>0</v>
      </c>
      <c r="Y61" t="s">
        <v>42</v>
      </c>
      <c r="Z61" t="s">
        <v>359</v>
      </c>
      <c r="AA61" t="s">
        <v>360</v>
      </c>
      <c r="AB61" t="s">
        <v>361</v>
      </c>
      <c r="AC61">
        <v>3</v>
      </c>
      <c r="AD61">
        <v>0</v>
      </c>
      <c r="AE61">
        <v>0</v>
      </c>
      <c r="AF61">
        <v>0</v>
      </c>
      <c r="AG61">
        <v>1</v>
      </c>
      <c r="AH61">
        <v>1</v>
      </c>
      <c r="AI61">
        <v>1</v>
      </c>
      <c r="AJ61" t="s">
        <v>356</v>
      </c>
      <c r="AK61" t="s">
        <v>269</v>
      </c>
      <c r="AL61" t="s">
        <v>270</v>
      </c>
      <c r="AM61" t="str">
        <f t="shared" si="1"/>
        <v>2020-2027</v>
      </c>
      <c r="AN61">
        <f t="shared" si="2"/>
        <v>7</v>
      </c>
    </row>
    <row r="62" spans="1:40" x14ac:dyDescent="0.2">
      <c r="A62">
        <v>61</v>
      </c>
      <c r="B62" t="s">
        <v>363</v>
      </c>
      <c r="C62" t="s">
        <v>1717</v>
      </c>
      <c r="D62" t="s">
        <v>72</v>
      </c>
      <c r="E62" t="s">
        <v>68</v>
      </c>
      <c r="F62" t="s">
        <v>362</v>
      </c>
      <c r="G62">
        <v>149</v>
      </c>
      <c r="H62">
        <v>84.569161249999979</v>
      </c>
      <c r="I62" t="s">
        <v>357</v>
      </c>
      <c r="J62">
        <v>95</v>
      </c>
      <c r="K62">
        <v>38.659076930000012</v>
      </c>
      <c r="L62">
        <v>39</v>
      </c>
      <c r="M62" t="s">
        <v>49</v>
      </c>
      <c r="N62">
        <v>107</v>
      </c>
      <c r="O62">
        <v>173</v>
      </c>
      <c r="P62">
        <v>4664</v>
      </c>
      <c r="Q62">
        <v>42</v>
      </c>
      <c r="R62" t="s">
        <v>365</v>
      </c>
      <c r="T62" s="3">
        <f t="shared" si="0"/>
        <v>0</v>
      </c>
      <c r="U62" t="s">
        <v>48</v>
      </c>
      <c r="V62" t="s">
        <v>40</v>
      </c>
      <c r="W62" t="s">
        <v>1719</v>
      </c>
      <c r="X62">
        <v>0</v>
      </c>
      <c r="Y62" t="s">
        <v>42</v>
      </c>
      <c r="Z62" t="s">
        <v>40</v>
      </c>
      <c r="AA62" t="s">
        <v>43</v>
      </c>
      <c r="AB62" t="s">
        <v>44</v>
      </c>
      <c r="AC62">
        <v>4</v>
      </c>
      <c r="AD62">
        <v>0</v>
      </c>
      <c r="AE62">
        <v>0</v>
      </c>
      <c r="AF62">
        <v>1</v>
      </c>
      <c r="AG62">
        <v>1</v>
      </c>
      <c r="AH62">
        <v>1</v>
      </c>
      <c r="AI62">
        <v>1</v>
      </c>
      <c r="AJ62" t="s">
        <v>364</v>
      </c>
      <c r="AK62" t="s">
        <v>146</v>
      </c>
      <c r="AL62" t="s">
        <v>147</v>
      </c>
      <c r="AM62" t="str">
        <f t="shared" si="1"/>
        <v>2018-2027</v>
      </c>
      <c r="AN62">
        <f t="shared" si="2"/>
        <v>9</v>
      </c>
    </row>
    <row r="63" spans="1:40" x14ac:dyDescent="0.2">
      <c r="A63">
        <v>62</v>
      </c>
      <c r="B63" t="s">
        <v>366</v>
      </c>
      <c r="C63" t="s">
        <v>1717</v>
      </c>
      <c r="D63" t="s">
        <v>72</v>
      </c>
      <c r="E63" t="s">
        <v>68</v>
      </c>
      <c r="F63" t="s">
        <v>362</v>
      </c>
      <c r="G63">
        <v>58</v>
      </c>
      <c r="H63">
        <v>21.415112293999989</v>
      </c>
      <c r="I63" t="s">
        <v>357</v>
      </c>
      <c r="J63">
        <v>43</v>
      </c>
      <c r="K63">
        <v>17.092599570000001</v>
      </c>
      <c r="L63">
        <v>22</v>
      </c>
      <c r="M63" t="s">
        <v>49</v>
      </c>
      <c r="N63">
        <v>27</v>
      </c>
      <c r="O63">
        <v>74</v>
      </c>
      <c r="P63">
        <v>2676</v>
      </c>
      <c r="Q63">
        <v>42</v>
      </c>
      <c r="R63" t="s">
        <v>365</v>
      </c>
      <c r="T63" s="3">
        <f t="shared" si="0"/>
        <v>0</v>
      </c>
      <c r="U63" t="s">
        <v>48</v>
      </c>
      <c r="V63" t="s">
        <v>40</v>
      </c>
      <c r="W63" t="s">
        <v>1719</v>
      </c>
      <c r="X63">
        <v>0</v>
      </c>
      <c r="Y63" t="s">
        <v>42</v>
      </c>
      <c r="Z63" t="s">
        <v>40</v>
      </c>
      <c r="AA63" t="s">
        <v>43</v>
      </c>
      <c r="AB63" t="s">
        <v>44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 t="s">
        <v>367</v>
      </c>
      <c r="AK63" t="s">
        <v>320</v>
      </c>
      <c r="AL63" t="s">
        <v>321</v>
      </c>
      <c r="AM63" t="str">
        <f t="shared" si="1"/>
        <v>2016-2018</v>
      </c>
      <c r="AN63">
        <f t="shared" si="2"/>
        <v>2</v>
      </c>
    </row>
    <row r="64" spans="1:40" x14ac:dyDescent="0.2">
      <c r="A64">
        <v>63</v>
      </c>
      <c r="B64" t="s">
        <v>368</v>
      </c>
      <c r="C64" t="s">
        <v>1717</v>
      </c>
      <c r="D64" t="s">
        <v>72</v>
      </c>
      <c r="E64" t="s">
        <v>68</v>
      </c>
      <c r="F64" t="s">
        <v>362</v>
      </c>
      <c r="G64">
        <v>81</v>
      </c>
      <c r="H64">
        <v>41.513661894000023</v>
      </c>
      <c r="I64" t="s">
        <v>357</v>
      </c>
      <c r="J64">
        <v>68</v>
      </c>
      <c r="K64">
        <v>26.366955353999991</v>
      </c>
      <c r="L64">
        <v>29</v>
      </c>
      <c r="M64" t="s">
        <v>49</v>
      </c>
      <c r="N64">
        <v>55</v>
      </c>
      <c r="O64">
        <v>84</v>
      </c>
      <c r="P64">
        <v>5048</v>
      </c>
      <c r="Q64">
        <v>42</v>
      </c>
      <c r="R64" t="s">
        <v>365</v>
      </c>
      <c r="T64" s="3">
        <f t="shared" si="0"/>
        <v>0</v>
      </c>
      <c r="U64" t="s">
        <v>48</v>
      </c>
      <c r="V64" t="s">
        <v>40</v>
      </c>
      <c r="W64" t="s">
        <v>1719</v>
      </c>
      <c r="X64">
        <v>0</v>
      </c>
      <c r="Y64" t="s">
        <v>42</v>
      </c>
      <c r="Z64" t="s">
        <v>40</v>
      </c>
      <c r="AA64" t="s">
        <v>43</v>
      </c>
      <c r="AB64" t="s">
        <v>44</v>
      </c>
      <c r="AC64">
        <v>2</v>
      </c>
      <c r="AD64">
        <v>1</v>
      </c>
      <c r="AE64">
        <v>1</v>
      </c>
      <c r="AF64">
        <v>0</v>
      </c>
      <c r="AG64">
        <v>0</v>
      </c>
      <c r="AH64">
        <v>0</v>
      </c>
      <c r="AI64">
        <v>0</v>
      </c>
      <c r="AJ64" t="s">
        <v>369</v>
      </c>
      <c r="AK64" t="s">
        <v>82</v>
      </c>
      <c r="AL64" t="s">
        <v>83</v>
      </c>
      <c r="AM64" t="str">
        <f t="shared" si="1"/>
        <v>2014-2016</v>
      </c>
      <c r="AN64">
        <f t="shared" si="2"/>
        <v>2</v>
      </c>
    </row>
    <row r="65" spans="1:40" x14ac:dyDescent="0.2">
      <c r="A65">
        <v>64</v>
      </c>
      <c r="B65" t="s">
        <v>370</v>
      </c>
      <c r="C65" t="s">
        <v>1718</v>
      </c>
      <c r="D65" t="s">
        <v>72</v>
      </c>
      <c r="E65" t="s">
        <v>68</v>
      </c>
      <c r="F65" t="s">
        <v>373</v>
      </c>
      <c r="G65">
        <v>51</v>
      </c>
      <c r="H65">
        <v>16.130205154999999</v>
      </c>
      <c r="I65" t="s">
        <v>372</v>
      </c>
      <c r="J65">
        <v>33</v>
      </c>
      <c r="K65">
        <v>12.417351979999999</v>
      </c>
      <c r="L65">
        <v>17</v>
      </c>
      <c r="M65" t="s">
        <v>67</v>
      </c>
      <c r="N65">
        <v>29</v>
      </c>
      <c r="O65">
        <v>76</v>
      </c>
      <c r="P65">
        <v>1128</v>
      </c>
      <c r="Q65">
        <v>43</v>
      </c>
      <c r="R65" t="s">
        <v>374</v>
      </c>
      <c r="T65" s="3">
        <f t="shared" si="0"/>
        <v>0</v>
      </c>
      <c r="U65" t="s">
        <v>48</v>
      </c>
      <c r="V65" t="s">
        <v>40</v>
      </c>
      <c r="W65" t="s">
        <v>1719</v>
      </c>
      <c r="X65">
        <v>0</v>
      </c>
      <c r="Y65" t="s">
        <v>42</v>
      </c>
      <c r="Z65" t="s">
        <v>40</v>
      </c>
      <c r="AA65" t="s">
        <v>43</v>
      </c>
      <c r="AB65" t="s">
        <v>81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 t="s">
        <v>371</v>
      </c>
      <c r="AK65" t="s">
        <v>65</v>
      </c>
      <c r="AL65" t="s">
        <v>66</v>
      </c>
      <c r="AM65" t="str">
        <f t="shared" si="1"/>
        <v>2024-2027</v>
      </c>
      <c r="AN65">
        <f t="shared" si="2"/>
        <v>3</v>
      </c>
    </row>
    <row r="66" spans="1:40" x14ac:dyDescent="0.2">
      <c r="A66">
        <v>65</v>
      </c>
      <c r="B66" t="s">
        <v>375</v>
      </c>
      <c r="C66" t="s">
        <v>1718</v>
      </c>
      <c r="D66" t="s">
        <v>123</v>
      </c>
      <c r="E66" t="s">
        <v>68</v>
      </c>
      <c r="F66" t="s">
        <v>380</v>
      </c>
      <c r="G66">
        <v>2</v>
      </c>
      <c r="H66">
        <v>0.83725873000000006</v>
      </c>
      <c r="I66" t="s">
        <v>377</v>
      </c>
      <c r="J66">
        <v>2</v>
      </c>
      <c r="K66">
        <v>1.3429042600000001</v>
      </c>
      <c r="L66">
        <v>1</v>
      </c>
      <c r="M66" t="s">
        <v>137</v>
      </c>
      <c r="N66">
        <v>0</v>
      </c>
      <c r="O66">
        <v>2</v>
      </c>
      <c r="P66">
        <v>2</v>
      </c>
      <c r="Q66">
        <v>44</v>
      </c>
      <c r="R66" t="s">
        <v>378</v>
      </c>
      <c r="S66" s="3" t="s">
        <v>90</v>
      </c>
      <c r="T66" s="3">
        <f t="shared" si="0"/>
        <v>1</v>
      </c>
      <c r="U66" t="s">
        <v>96</v>
      </c>
      <c r="V66" t="s">
        <v>379</v>
      </c>
      <c r="W66" t="s">
        <v>95</v>
      </c>
      <c r="X66">
        <v>1</v>
      </c>
      <c r="Y66" t="s">
        <v>41</v>
      </c>
      <c r="Z66" t="s">
        <v>92</v>
      </c>
      <c r="AA66" t="s">
        <v>224</v>
      </c>
      <c r="AB66" t="s">
        <v>346</v>
      </c>
      <c r="AC66">
        <v>3</v>
      </c>
      <c r="AD66">
        <v>0</v>
      </c>
      <c r="AE66">
        <v>0</v>
      </c>
      <c r="AF66">
        <v>1</v>
      </c>
      <c r="AG66">
        <v>1</v>
      </c>
      <c r="AH66">
        <v>1</v>
      </c>
      <c r="AI66">
        <v>0</v>
      </c>
      <c r="AJ66" t="s">
        <v>376</v>
      </c>
      <c r="AK66" t="s">
        <v>327</v>
      </c>
      <c r="AL66" t="s">
        <v>328</v>
      </c>
      <c r="AM66" t="str">
        <f t="shared" si="1"/>
        <v>2018-2024</v>
      </c>
      <c r="AN66">
        <f t="shared" si="2"/>
        <v>6</v>
      </c>
    </row>
    <row r="67" spans="1:40" x14ac:dyDescent="0.2">
      <c r="A67">
        <v>66</v>
      </c>
      <c r="B67" t="s">
        <v>381</v>
      </c>
      <c r="C67" t="s">
        <v>1717</v>
      </c>
      <c r="D67" t="s">
        <v>231</v>
      </c>
      <c r="E67" t="s">
        <v>98</v>
      </c>
      <c r="F67" t="s">
        <v>99</v>
      </c>
      <c r="G67">
        <v>4</v>
      </c>
      <c r="H67">
        <v>1.8062301300000001</v>
      </c>
      <c r="I67" t="s">
        <v>88</v>
      </c>
      <c r="J67">
        <v>4</v>
      </c>
      <c r="K67">
        <v>1.7667841</v>
      </c>
      <c r="L67">
        <v>2</v>
      </c>
      <c r="M67" t="s">
        <v>97</v>
      </c>
      <c r="N67">
        <v>0</v>
      </c>
      <c r="O67">
        <v>7</v>
      </c>
      <c r="P67">
        <v>7</v>
      </c>
      <c r="Q67">
        <v>44</v>
      </c>
      <c r="R67" t="s">
        <v>378</v>
      </c>
      <c r="S67" s="3" t="s">
        <v>90</v>
      </c>
      <c r="T67" s="3">
        <f t="shared" ref="T67:T130" si="3">IF(OR(S67="Sem IGC", ISBLANK(S67)), 0, 1)</f>
        <v>1</v>
      </c>
      <c r="U67" t="s">
        <v>96</v>
      </c>
      <c r="V67" t="s">
        <v>379</v>
      </c>
      <c r="W67" t="s">
        <v>95</v>
      </c>
      <c r="X67">
        <v>1</v>
      </c>
      <c r="Y67" t="s">
        <v>41</v>
      </c>
      <c r="Z67" t="s">
        <v>92</v>
      </c>
      <c r="AA67" t="s">
        <v>224</v>
      </c>
      <c r="AB67" t="s">
        <v>346</v>
      </c>
      <c r="AC67">
        <v>1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 t="s">
        <v>382</v>
      </c>
      <c r="AK67" t="s">
        <v>320</v>
      </c>
      <c r="AL67" t="s">
        <v>321</v>
      </c>
      <c r="AM67" t="str">
        <f t="shared" ref="AM67:AM130" si="4">LEFT(AL67,4) &amp; "-" &amp; RIGHT(AL67,4)</f>
        <v>2016-2018</v>
      </c>
      <c r="AN67">
        <f t="shared" ref="AN67:AN130" si="5">VALUE(RIGHT(AL67,4)) - VALUE(LEFT(AL67,4))</f>
        <v>2</v>
      </c>
    </row>
    <row r="68" spans="1:40" x14ac:dyDescent="0.2">
      <c r="A68">
        <v>67</v>
      </c>
      <c r="B68" t="s">
        <v>383</v>
      </c>
      <c r="C68" t="s">
        <v>1717</v>
      </c>
      <c r="D68" t="s">
        <v>72</v>
      </c>
      <c r="E68" t="s">
        <v>68</v>
      </c>
      <c r="F68" t="s">
        <v>386</v>
      </c>
      <c r="G68">
        <v>43</v>
      </c>
      <c r="H68">
        <v>13.78278976</v>
      </c>
      <c r="I68" t="s">
        <v>385</v>
      </c>
      <c r="J68">
        <v>25</v>
      </c>
      <c r="K68">
        <v>11.3327317</v>
      </c>
      <c r="L68">
        <v>4</v>
      </c>
      <c r="M68" t="s">
        <v>97</v>
      </c>
      <c r="N68">
        <v>2</v>
      </c>
      <c r="O68">
        <v>47</v>
      </c>
      <c r="P68">
        <v>159</v>
      </c>
      <c r="Q68">
        <v>44</v>
      </c>
      <c r="R68" t="s">
        <v>378</v>
      </c>
      <c r="S68" s="3" t="s">
        <v>90</v>
      </c>
      <c r="T68" s="3">
        <f t="shared" si="3"/>
        <v>1</v>
      </c>
      <c r="U68" t="s">
        <v>96</v>
      </c>
      <c r="V68" t="s">
        <v>379</v>
      </c>
      <c r="W68" t="s">
        <v>95</v>
      </c>
      <c r="X68">
        <v>1</v>
      </c>
      <c r="Y68" t="s">
        <v>41</v>
      </c>
      <c r="Z68" t="s">
        <v>92</v>
      </c>
      <c r="AA68" t="s">
        <v>224</v>
      </c>
      <c r="AB68" t="s">
        <v>346</v>
      </c>
      <c r="AC68">
        <v>2</v>
      </c>
      <c r="AD68">
        <v>1</v>
      </c>
      <c r="AE68">
        <v>1</v>
      </c>
      <c r="AF68">
        <v>0</v>
      </c>
      <c r="AG68">
        <v>0</v>
      </c>
      <c r="AH68">
        <v>0</v>
      </c>
      <c r="AI68">
        <v>0</v>
      </c>
      <c r="AJ68" t="s">
        <v>384</v>
      </c>
      <c r="AK68" t="s">
        <v>82</v>
      </c>
      <c r="AL68" t="s">
        <v>83</v>
      </c>
      <c r="AM68" t="str">
        <f t="shared" si="4"/>
        <v>2014-2016</v>
      </c>
      <c r="AN68">
        <f t="shared" si="5"/>
        <v>2</v>
      </c>
    </row>
    <row r="69" spans="1:40" x14ac:dyDescent="0.2">
      <c r="A69">
        <v>68</v>
      </c>
      <c r="B69" t="s">
        <v>387</v>
      </c>
      <c r="C69" t="s">
        <v>1717</v>
      </c>
      <c r="D69" t="s">
        <v>114</v>
      </c>
      <c r="E69" t="s">
        <v>68</v>
      </c>
      <c r="F69" t="s">
        <v>391</v>
      </c>
      <c r="G69">
        <v>8</v>
      </c>
      <c r="H69">
        <v>3.911616930000001</v>
      </c>
      <c r="I69" t="s">
        <v>389</v>
      </c>
      <c r="J69">
        <v>4</v>
      </c>
      <c r="K69">
        <v>3.15040239</v>
      </c>
      <c r="L69">
        <v>4</v>
      </c>
      <c r="M69" t="s">
        <v>97</v>
      </c>
      <c r="N69">
        <v>3</v>
      </c>
      <c r="O69">
        <v>9</v>
      </c>
      <c r="P69">
        <v>53</v>
      </c>
      <c r="Q69">
        <v>45</v>
      </c>
      <c r="R69" t="s">
        <v>390</v>
      </c>
      <c r="S69" s="3" t="s">
        <v>90</v>
      </c>
      <c r="T69" s="3">
        <f t="shared" si="3"/>
        <v>1</v>
      </c>
      <c r="U69" t="s">
        <v>96</v>
      </c>
      <c r="V69" t="s">
        <v>379</v>
      </c>
      <c r="W69" t="s">
        <v>95</v>
      </c>
      <c r="X69">
        <v>1</v>
      </c>
      <c r="Y69" t="s">
        <v>41</v>
      </c>
      <c r="Z69" t="s">
        <v>92</v>
      </c>
      <c r="AA69" t="s">
        <v>63</v>
      </c>
      <c r="AB69" t="s">
        <v>64</v>
      </c>
      <c r="AC69">
        <v>3</v>
      </c>
      <c r="AD69">
        <v>0</v>
      </c>
      <c r="AE69">
        <v>0</v>
      </c>
      <c r="AF69">
        <v>0</v>
      </c>
      <c r="AG69">
        <v>1</v>
      </c>
      <c r="AH69">
        <v>1</v>
      </c>
      <c r="AI69">
        <v>1</v>
      </c>
      <c r="AJ69" t="s">
        <v>388</v>
      </c>
      <c r="AK69" t="s">
        <v>269</v>
      </c>
      <c r="AL69" t="s">
        <v>270</v>
      </c>
      <c r="AM69" t="str">
        <f t="shared" si="4"/>
        <v>2020-2027</v>
      </c>
      <c r="AN69">
        <f t="shared" si="5"/>
        <v>7</v>
      </c>
    </row>
    <row r="70" spans="1:40" x14ac:dyDescent="0.2">
      <c r="A70">
        <v>69</v>
      </c>
      <c r="B70" t="s">
        <v>392</v>
      </c>
      <c r="C70" t="s">
        <v>1718</v>
      </c>
      <c r="D70" t="s">
        <v>394</v>
      </c>
      <c r="E70" t="s">
        <v>98</v>
      </c>
      <c r="F70" t="s">
        <v>99</v>
      </c>
      <c r="G70">
        <v>10</v>
      </c>
      <c r="H70">
        <v>4.8587005999999997</v>
      </c>
      <c r="I70" t="s">
        <v>88</v>
      </c>
      <c r="J70">
        <v>9</v>
      </c>
      <c r="K70">
        <v>5.6580277100000007</v>
      </c>
      <c r="L70">
        <v>1</v>
      </c>
      <c r="M70" t="s">
        <v>137</v>
      </c>
      <c r="N70">
        <v>0</v>
      </c>
      <c r="O70">
        <v>10</v>
      </c>
      <c r="P70">
        <v>3</v>
      </c>
      <c r="Q70">
        <v>45</v>
      </c>
      <c r="R70" t="s">
        <v>390</v>
      </c>
      <c r="S70" s="3" t="s">
        <v>90</v>
      </c>
      <c r="T70" s="3">
        <f t="shared" si="3"/>
        <v>1</v>
      </c>
      <c r="U70" t="s">
        <v>96</v>
      </c>
      <c r="V70" t="s">
        <v>379</v>
      </c>
      <c r="W70" t="s">
        <v>95</v>
      </c>
      <c r="X70">
        <v>1</v>
      </c>
      <c r="Y70" t="s">
        <v>41</v>
      </c>
      <c r="Z70" t="s">
        <v>92</v>
      </c>
      <c r="AA70" t="s">
        <v>63</v>
      </c>
      <c r="AB70" t="s">
        <v>64</v>
      </c>
      <c r="AC70">
        <v>1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 t="s">
        <v>393</v>
      </c>
      <c r="AK70" t="s">
        <v>93</v>
      </c>
      <c r="AL70" t="s">
        <v>94</v>
      </c>
      <c r="AM70" t="str">
        <f t="shared" si="4"/>
        <v>2020-2021</v>
      </c>
      <c r="AN70">
        <f t="shared" si="5"/>
        <v>1</v>
      </c>
    </row>
    <row r="71" spans="1:40" x14ac:dyDescent="0.2">
      <c r="A71">
        <v>70</v>
      </c>
      <c r="B71" t="s">
        <v>395</v>
      </c>
      <c r="C71" t="s">
        <v>1718</v>
      </c>
      <c r="D71" t="s">
        <v>248</v>
      </c>
      <c r="E71" t="s">
        <v>98</v>
      </c>
      <c r="F71" t="s">
        <v>99</v>
      </c>
      <c r="G71">
        <v>7</v>
      </c>
      <c r="H71">
        <v>3.392680180000001</v>
      </c>
      <c r="I71" t="s">
        <v>88</v>
      </c>
      <c r="J71">
        <v>7</v>
      </c>
      <c r="K71">
        <v>2.81484852</v>
      </c>
      <c r="L71">
        <v>2</v>
      </c>
      <c r="M71" t="s">
        <v>97</v>
      </c>
      <c r="N71">
        <v>1</v>
      </c>
      <c r="O71">
        <v>16</v>
      </c>
      <c r="P71">
        <v>99</v>
      </c>
      <c r="Q71">
        <v>45</v>
      </c>
      <c r="R71" t="s">
        <v>390</v>
      </c>
      <c r="S71" s="3" t="s">
        <v>90</v>
      </c>
      <c r="T71" s="3">
        <f t="shared" si="3"/>
        <v>1</v>
      </c>
      <c r="U71" t="s">
        <v>96</v>
      </c>
      <c r="V71" t="s">
        <v>379</v>
      </c>
      <c r="W71" t="s">
        <v>95</v>
      </c>
      <c r="X71">
        <v>1</v>
      </c>
      <c r="Y71" t="s">
        <v>41</v>
      </c>
      <c r="Z71" t="s">
        <v>92</v>
      </c>
      <c r="AA71" t="s">
        <v>63</v>
      </c>
      <c r="AB71" t="s">
        <v>64</v>
      </c>
      <c r="AC71">
        <v>1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 t="s">
        <v>396</v>
      </c>
      <c r="AK71" t="s">
        <v>320</v>
      </c>
      <c r="AL71" t="s">
        <v>321</v>
      </c>
      <c r="AM71" t="str">
        <f t="shared" si="4"/>
        <v>2016-2018</v>
      </c>
      <c r="AN71">
        <f t="shared" si="5"/>
        <v>2</v>
      </c>
    </row>
    <row r="72" spans="1:40" x14ac:dyDescent="0.2">
      <c r="A72">
        <v>71</v>
      </c>
      <c r="B72" t="s">
        <v>397</v>
      </c>
      <c r="C72" t="s">
        <v>1718</v>
      </c>
      <c r="D72" t="s">
        <v>72</v>
      </c>
      <c r="E72" t="s">
        <v>173</v>
      </c>
      <c r="F72" t="s">
        <v>351</v>
      </c>
      <c r="G72">
        <v>8</v>
      </c>
      <c r="H72">
        <v>2.911910390000001</v>
      </c>
      <c r="I72" t="s">
        <v>349</v>
      </c>
      <c r="J72">
        <v>6</v>
      </c>
      <c r="K72">
        <v>2.8886495700000001</v>
      </c>
      <c r="L72">
        <v>2</v>
      </c>
      <c r="M72" t="s">
        <v>97</v>
      </c>
      <c r="N72">
        <v>0</v>
      </c>
      <c r="O72">
        <v>9</v>
      </c>
      <c r="P72">
        <v>16</v>
      </c>
      <c r="Q72">
        <v>45</v>
      </c>
      <c r="R72" t="s">
        <v>390</v>
      </c>
      <c r="S72" s="3" t="s">
        <v>90</v>
      </c>
      <c r="T72" s="3">
        <f t="shared" si="3"/>
        <v>1</v>
      </c>
      <c r="U72" t="s">
        <v>96</v>
      </c>
      <c r="V72" t="s">
        <v>379</v>
      </c>
      <c r="W72" t="s">
        <v>95</v>
      </c>
      <c r="X72">
        <v>1</v>
      </c>
      <c r="Y72" t="s">
        <v>41</v>
      </c>
      <c r="Z72" t="s">
        <v>92</v>
      </c>
      <c r="AA72" t="s">
        <v>63</v>
      </c>
      <c r="AB72" t="s">
        <v>64</v>
      </c>
      <c r="AC72">
        <v>4</v>
      </c>
      <c r="AD72">
        <v>0</v>
      </c>
      <c r="AE72">
        <v>1</v>
      </c>
      <c r="AF72">
        <v>1</v>
      </c>
      <c r="AG72">
        <v>1</v>
      </c>
      <c r="AH72">
        <v>1</v>
      </c>
      <c r="AI72">
        <v>0</v>
      </c>
      <c r="AJ72" t="s">
        <v>398</v>
      </c>
      <c r="AK72" t="s">
        <v>399</v>
      </c>
      <c r="AL72" t="s">
        <v>400</v>
      </c>
      <c r="AM72" t="str">
        <f t="shared" si="4"/>
        <v>2016-2024</v>
      </c>
      <c r="AN72">
        <f t="shared" si="5"/>
        <v>8</v>
      </c>
    </row>
    <row r="73" spans="1:40" x14ac:dyDescent="0.2">
      <c r="A73">
        <v>72</v>
      </c>
      <c r="B73" t="s">
        <v>401</v>
      </c>
      <c r="C73" t="s">
        <v>1717</v>
      </c>
      <c r="D73" t="s">
        <v>248</v>
      </c>
      <c r="E73" t="s">
        <v>98</v>
      </c>
      <c r="F73" t="s">
        <v>99</v>
      </c>
      <c r="G73">
        <v>6</v>
      </c>
      <c r="H73">
        <v>2.4803170400000001</v>
      </c>
      <c r="I73" t="s">
        <v>88</v>
      </c>
      <c r="J73">
        <v>4</v>
      </c>
      <c r="K73">
        <v>2.7098349499999999</v>
      </c>
      <c r="L73">
        <v>1</v>
      </c>
      <c r="M73" t="s">
        <v>137</v>
      </c>
      <c r="N73">
        <v>0</v>
      </c>
      <c r="O73">
        <v>9</v>
      </c>
      <c r="P73">
        <v>3</v>
      </c>
      <c r="Q73">
        <v>45</v>
      </c>
      <c r="R73" t="s">
        <v>390</v>
      </c>
      <c r="S73" s="3" t="s">
        <v>90</v>
      </c>
      <c r="T73" s="3">
        <f t="shared" si="3"/>
        <v>1</v>
      </c>
      <c r="U73" t="s">
        <v>96</v>
      </c>
      <c r="V73" t="s">
        <v>379</v>
      </c>
      <c r="W73" t="s">
        <v>95</v>
      </c>
      <c r="X73">
        <v>1</v>
      </c>
      <c r="Y73" t="s">
        <v>41</v>
      </c>
      <c r="Z73" t="s">
        <v>92</v>
      </c>
      <c r="AA73" t="s">
        <v>63</v>
      </c>
      <c r="AB73" t="s">
        <v>64</v>
      </c>
      <c r="AC73">
        <v>1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 t="s">
        <v>402</v>
      </c>
      <c r="AK73" t="s">
        <v>202</v>
      </c>
      <c r="AL73" t="s">
        <v>203</v>
      </c>
      <c r="AM73" t="str">
        <f t="shared" si="4"/>
        <v>2018-2020</v>
      </c>
      <c r="AN73">
        <f t="shared" si="5"/>
        <v>2</v>
      </c>
    </row>
    <row r="74" spans="1:40" x14ac:dyDescent="0.2">
      <c r="A74">
        <v>73</v>
      </c>
      <c r="B74" t="s">
        <v>403</v>
      </c>
      <c r="C74" t="s">
        <v>1717</v>
      </c>
      <c r="D74" t="s">
        <v>72</v>
      </c>
      <c r="E74" t="s">
        <v>68</v>
      </c>
      <c r="F74" t="s">
        <v>386</v>
      </c>
      <c r="G74">
        <v>6</v>
      </c>
      <c r="H74">
        <v>3.3249710499999998</v>
      </c>
      <c r="I74" t="s">
        <v>385</v>
      </c>
      <c r="J74">
        <v>4</v>
      </c>
      <c r="K74">
        <v>1.8719982900000001</v>
      </c>
      <c r="L74">
        <v>3</v>
      </c>
      <c r="M74" t="s">
        <v>97</v>
      </c>
      <c r="N74">
        <v>1</v>
      </c>
      <c r="O74">
        <v>8</v>
      </c>
      <c r="P74">
        <v>33</v>
      </c>
      <c r="Q74">
        <v>45</v>
      </c>
      <c r="R74" t="s">
        <v>390</v>
      </c>
      <c r="S74" s="3" t="s">
        <v>90</v>
      </c>
      <c r="T74" s="3">
        <f t="shared" si="3"/>
        <v>1</v>
      </c>
      <c r="U74" t="s">
        <v>96</v>
      </c>
      <c r="V74" t="s">
        <v>379</v>
      </c>
      <c r="W74" t="s">
        <v>95</v>
      </c>
      <c r="X74">
        <v>1</v>
      </c>
      <c r="Y74" t="s">
        <v>41</v>
      </c>
      <c r="Z74" t="s">
        <v>92</v>
      </c>
      <c r="AA74" t="s">
        <v>63</v>
      </c>
      <c r="AB74" t="s">
        <v>64</v>
      </c>
      <c r="AC74">
        <v>2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1</v>
      </c>
      <c r="AJ74" t="s">
        <v>404</v>
      </c>
      <c r="AK74" t="s">
        <v>55</v>
      </c>
      <c r="AL74" t="s">
        <v>56</v>
      </c>
      <c r="AM74" t="str">
        <f t="shared" si="4"/>
        <v>2022-2027</v>
      </c>
      <c r="AN74">
        <f t="shared" si="5"/>
        <v>5</v>
      </c>
    </row>
    <row r="75" spans="1:40" x14ac:dyDescent="0.2">
      <c r="A75">
        <v>74</v>
      </c>
      <c r="B75" t="s">
        <v>405</v>
      </c>
      <c r="C75" t="s">
        <v>1717</v>
      </c>
      <c r="D75" t="s">
        <v>72</v>
      </c>
      <c r="E75" t="s">
        <v>68</v>
      </c>
      <c r="F75" t="s">
        <v>408</v>
      </c>
      <c r="G75">
        <v>105</v>
      </c>
      <c r="H75">
        <v>41.637109805000009</v>
      </c>
      <c r="I75" t="s">
        <v>407</v>
      </c>
      <c r="J75">
        <v>43</v>
      </c>
      <c r="K75">
        <v>21.336215809999999</v>
      </c>
      <c r="L75">
        <v>14</v>
      </c>
      <c r="M75" t="s">
        <v>67</v>
      </c>
      <c r="N75">
        <v>21</v>
      </c>
      <c r="O75">
        <v>139</v>
      </c>
      <c r="P75">
        <v>612</v>
      </c>
      <c r="Q75">
        <v>45</v>
      </c>
      <c r="R75" t="s">
        <v>390</v>
      </c>
      <c r="S75" s="3" t="s">
        <v>90</v>
      </c>
      <c r="T75" s="3">
        <f t="shared" si="3"/>
        <v>1</v>
      </c>
      <c r="U75" t="s">
        <v>96</v>
      </c>
      <c r="V75" t="s">
        <v>379</v>
      </c>
      <c r="W75" t="s">
        <v>95</v>
      </c>
      <c r="X75">
        <v>1</v>
      </c>
      <c r="Y75" t="s">
        <v>41</v>
      </c>
      <c r="Z75" t="s">
        <v>92</v>
      </c>
      <c r="AA75" t="s">
        <v>63</v>
      </c>
      <c r="AB75" t="s">
        <v>64</v>
      </c>
      <c r="AC75">
        <v>2</v>
      </c>
      <c r="AD75">
        <v>1</v>
      </c>
      <c r="AE75">
        <v>1</v>
      </c>
      <c r="AF75">
        <v>0</v>
      </c>
      <c r="AG75">
        <v>0</v>
      </c>
      <c r="AH75">
        <v>0</v>
      </c>
      <c r="AI75">
        <v>0</v>
      </c>
      <c r="AJ75" t="s">
        <v>406</v>
      </c>
      <c r="AK75" t="s">
        <v>82</v>
      </c>
      <c r="AL75" t="s">
        <v>83</v>
      </c>
      <c r="AM75" t="str">
        <f t="shared" si="4"/>
        <v>2014-2016</v>
      </c>
      <c r="AN75">
        <f t="shared" si="5"/>
        <v>2</v>
      </c>
    </row>
    <row r="76" spans="1:40" x14ac:dyDescent="0.2">
      <c r="A76">
        <v>75</v>
      </c>
      <c r="B76" t="s">
        <v>409</v>
      </c>
      <c r="C76" t="s">
        <v>1717</v>
      </c>
      <c r="D76" t="s">
        <v>123</v>
      </c>
      <c r="E76" t="s">
        <v>98</v>
      </c>
      <c r="F76" t="s">
        <v>99</v>
      </c>
      <c r="G76">
        <v>6</v>
      </c>
      <c r="H76">
        <v>3.9079205199999998</v>
      </c>
      <c r="I76" t="s">
        <v>88</v>
      </c>
      <c r="J76">
        <v>4</v>
      </c>
      <c r="K76">
        <v>1.9756971400000001</v>
      </c>
      <c r="L76">
        <v>3</v>
      </c>
      <c r="M76" t="s">
        <v>97</v>
      </c>
      <c r="N76">
        <v>1</v>
      </c>
      <c r="O76">
        <v>8</v>
      </c>
      <c r="P76">
        <v>52</v>
      </c>
      <c r="Q76">
        <v>46</v>
      </c>
      <c r="R76" t="s">
        <v>411</v>
      </c>
      <c r="S76" s="3" t="s">
        <v>90</v>
      </c>
      <c r="T76" s="3">
        <f t="shared" si="3"/>
        <v>1</v>
      </c>
      <c r="U76" t="s">
        <v>96</v>
      </c>
      <c r="V76" t="s">
        <v>379</v>
      </c>
      <c r="W76" t="s">
        <v>95</v>
      </c>
      <c r="X76">
        <v>1</v>
      </c>
      <c r="Y76" t="s">
        <v>41</v>
      </c>
      <c r="Z76" t="s">
        <v>92</v>
      </c>
      <c r="AA76" t="s">
        <v>63</v>
      </c>
      <c r="AB76" t="s">
        <v>412</v>
      </c>
      <c r="AC76">
        <v>2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1</v>
      </c>
      <c r="AJ76" t="s">
        <v>410</v>
      </c>
      <c r="AK76" t="s">
        <v>55</v>
      </c>
      <c r="AL76" t="s">
        <v>56</v>
      </c>
      <c r="AM76" t="str">
        <f t="shared" si="4"/>
        <v>2022-2027</v>
      </c>
      <c r="AN76">
        <f t="shared" si="5"/>
        <v>5</v>
      </c>
    </row>
    <row r="77" spans="1:40" x14ac:dyDescent="0.2">
      <c r="A77">
        <v>76</v>
      </c>
      <c r="B77" t="s">
        <v>413</v>
      </c>
      <c r="C77" t="s">
        <v>1718</v>
      </c>
      <c r="D77" t="s">
        <v>186</v>
      </c>
      <c r="E77" t="s">
        <v>98</v>
      </c>
      <c r="F77" t="s">
        <v>99</v>
      </c>
      <c r="G77">
        <v>17</v>
      </c>
      <c r="H77">
        <v>7.0204579700000007</v>
      </c>
      <c r="I77" t="s">
        <v>88</v>
      </c>
      <c r="J77">
        <v>16</v>
      </c>
      <c r="K77">
        <v>8.943495549999998</v>
      </c>
      <c r="L77">
        <v>0</v>
      </c>
      <c r="M77" t="s">
        <v>137</v>
      </c>
      <c r="N77">
        <v>0</v>
      </c>
      <c r="O77">
        <v>22</v>
      </c>
      <c r="P77">
        <v>0</v>
      </c>
      <c r="Q77">
        <v>46</v>
      </c>
      <c r="R77" t="s">
        <v>411</v>
      </c>
      <c r="S77" s="3" t="s">
        <v>90</v>
      </c>
      <c r="T77" s="3">
        <f t="shared" si="3"/>
        <v>1</v>
      </c>
      <c r="U77" t="s">
        <v>96</v>
      </c>
      <c r="V77" t="s">
        <v>379</v>
      </c>
      <c r="W77" t="s">
        <v>95</v>
      </c>
      <c r="X77">
        <v>1</v>
      </c>
      <c r="Y77" t="s">
        <v>41</v>
      </c>
      <c r="Z77" t="s">
        <v>92</v>
      </c>
      <c r="AA77" t="s">
        <v>63</v>
      </c>
      <c r="AB77" t="s">
        <v>412</v>
      </c>
      <c r="AC77">
        <v>3</v>
      </c>
      <c r="AD77">
        <v>0</v>
      </c>
      <c r="AE77">
        <v>1</v>
      </c>
      <c r="AF77">
        <v>1</v>
      </c>
      <c r="AG77">
        <v>1</v>
      </c>
      <c r="AH77">
        <v>0</v>
      </c>
      <c r="AI77">
        <v>0</v>
      </c>
      <c r="AJ77" t="s">
        <v>414</v>
      </c>
      <c r="AK77" t="s">
        <v>131</v>
      </c>
      <c r="AL77" t="s">
        <v>132</v>
      </c>
      <c r="AM77" t="str">
        <f t="shared" si="4"/>
        <v>2016-2021</v>
      </c>
      <c r="AN77">
        <f t="shared" si="5"/>
        <v>5</v>
      </c>
    </row>
    <row r="78" spans="1:40" x14ac:dyDescent="0.2">
      <c r="A78">
        <v>77</v>
      </c>
      <c r="B78" t="s">
        <v>415</v>
      </c>
      <c r="C78" t="s">
        <v>1717</v>
      </c>
      <c r="D78" t="s">
        <v>227</v>
      </c>
      <c r="E78" t="s">
        <v>227</v>
      </c>
      <c r="F78" t="s">
        <v>227</v>
      </c>
      <c r="I78" t="s">
        <v>226</v>
      </c>
      <c r="M78" t="s">
        <v>226</v>
      </c>
      <c r="Q78">
        <v>46</v>
      </c>
      <c r="R78" t="s">
        <v>411</v>
      </c>
      <c r="S78" s="3" t="s">
        <v>90</v>
      </c>
      <c r="T78" s="3">
        <f t="shared" si="3"/>
        <v>1</v>
      </c>
      <c r="U78" t="s">
        <v>96</v>
      </c>
      <c r="V78" t="s">
        <v>379</v>
      </c>
      <c r="W78" t="s">
        <v>95</v>
      </c>
      <c r="X78">
        <v>1</v>
      </c>
      <c r="Y78" t="s">
        <v>41</v>
      </c>
      <c r="Z78" t="s">
        <v>92</v>
      </c>
      <c r="AA78" t="s">
        <v>63</v>
      </c>
      <c r="AB78" t="s">
        <v>412</v>
      </c>
      <c r="AC78">
        <v>2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 t="s">
        <v>226</v>
      </c>
      <c r="AK78" t="s">
        <v>82</v>
      </c>
      <c r="AL78" t="s">
        <v>83</v>
      </c>
      <c r="AM78" t="str">
        <f t="shared" si="4"/>
        <v>2014-2016</v>
      </c>
      <c r="AN78">
        <f t="shared" si="5"/>
        <v>2</v>
      </c>
    </row>
    <row r="79" spans="1:40" x14ac:dyDescent="0.2">
      <c r="A79">
        <v>78</v>
      </c>
      <c r="B79" t="s">
        <v>416</v>
      </c>
      <c r="C79" t="s">
        <v>1717</v>
      </c>
      <c r="D79" t="s">
        <v>79</v>
      </c>
      <c r="E79" t="s">
        <v>98</v>
      </c>
      <c r="F79" t="s">
        <v>99</v>
      </c>
      <c r="G79">
        <v>6</v>
      </c>
      <c r="H79">
        <v>3.1685330299999999</v>
      </c>
      <c r="I79" t="s">
        <v>88</v>
      </c>
      <c r="J79">
        <v>4</v>
      </c>
      <c r="K79">
        <v>2.2944803</v>
      </c>
      <c r="L79">
        <v>5</v>
      </c>
      <c r="M79" t="s">
        <v>119</v>
      </c>
      <c r="N79">
        <v>4</v>
      </c>
      <c r="O79">
        <v>10</v>
      </c>
      <c r="P79">
        <v>256</v>
      </c>
      <c r="Q79">
        <v>47</v>
      </c>
      <c r="R79" t="s">
        <v>418</v>
      </c>
      <c r="S79" s="3" t="s">
        <v>141</v>
      </c>
      <c r="T79" s="3">
        <f t="shared" si="3"/>
        <v>1</v>
      </c>
      <c r="U79" t="s">
        <v>149</v>
      </c>
      <c r="V79" t="s">
        <v>379</v>
      </c>
      <c r="W79" t="s">
        <v>95</v>
      </c>
      <c r="X79">
        <v>1</v>
      </c>
      <c r="Y79" t="s">
        <v>41</v>
      </c>
      <c r="Z79" t="s">
        <v>92</v>
      </c>
      <c r="AA79" t="s">
        <v>63</v>
      </c>
      <c r="AB79" t="s">
        <v>145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 t="s">
        <v>417</v>
      </c>
      <c r="AK79" t="s">
        <v>65</v>
      </c>
      <c r="AL79" t="s">
        <v>66</v>
      </c>
      <c r="AM79" t="str">
        <f t="shared" si="4"/>
        <v>2024-2027</v>
      </c>
      <c r="AN79">
        <f t="shared" si="5"/>
        <v>3</v>
      </c>
    </row>
    <row r="80" spans="1:40" x14ac:dyDescent="0.2">
      <c r="A80">
        <v>79</v>
      </c>
      <c r="B80" t="s">
        <v>419</v>
      </c>
      <c r="C80" t="s">
        <v>1717</v>
      </c>
      <c r="D80" t="s">
        <v>114</v>
      </c>
      <c r="E80" t="s">
        <v>98</v>
      </c>
      <c r="F80" t="s">
        <v>99</v>
      </c>
      <c r="G80">
        <v>2</v>
      </c>
      <c r="H80">
        <v>0.85970711999999994</v>
      </c>
      <c r="I80" t="s">
        <v>88</v>
      </c>
      <c r="J80">
        <v>2</v>
      </c>
      <c r="K80">
        <v>0.92468035000000004</v>
      </c>
      <c r="L80">
        <v>1</v>
      </c>
      <c r="M80" t="s">
        <v>137</v>
      </c>
      <c r="N80">
        <v>1</v>
      </c>
      <c r="O80">
        <v>3</v>
      </c>
      <c r="P80">
        <v>35</v>
      </c>
      <c r="Q80">
        <v>48</v>
      </c>
      <c r="R80" t="s">
        <v>421</v>
      </c>
      <c r="S80" s="3" t="s">
        <v>90</v>
      </c>
      <c r="T80" s="3">
        <f t="shared" si="3"/>
        <v>1</v>
      </c>
      <c r="U80" t="s">
        <v>96</v>
      </c>
      <c r="V80" t="s">
        <v>379</v>
      </c>
      <c r="W80" t="s">
        <v>95</v>
      </c>
      <c r="X80">
        <v>1</v>
      </c>
      <c r="Y80" t="s">
        <v>41</v>
      </c>
      <c r="Z80" t="s">
        <v>92</v>
      </c>
      <c r="AA80" t="s">
        <v>191</v>
      </c>
      <c r="AB80" t="s">
        <v>192</v>
      </c>
      <c r="AC80">
        <v>5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0</v>
      </c>
      <c r="AJ80" t="s">
        <v>420</v>
      </c>
      <c r="AK80" t="s">
        <v>255</v>
      </c>
      <c r="AL80" t="s">
        <v>256</v>
      </c>
      <c r="AM80" t="str">
        <f t="shared" si="4"/>
        <v>2014-2024</v>
      </c>
      <c r="AN80">
        <f t="shared" si="5"/>
        <v>10</v>
      </c>
    </row>
    <row r="81" spans="1:40" x14ac:dyDescent="0.2">
      <c r="A81">
        <v>80</v>
      </c>
      <c r="B81" t="s">
        <v>422</v>
      </c>
      <c r="C81" t="s">
        <v>1718</v>
      </c>
      <c r="D81" t="s">
        <v>217</v>
      </c>
      <c r="E81" t="s">
        <v>104</v>
      </c>
      <c r="F81" t="s">
        <v>425</v>
      </c>
      <c r="G81">
        <v>202</v>
      </c>
      <c r="H81">
        <v>60.740310570000062</v>
      </c>
      <c r="I81" t="s">
        <v>424</v>
      </c>
      <c r="J81">
        <v>72</v>
      </c>
      <c r="K81">
        <v>21.20281752</v>
      </c>
      <c r="L81">
        <v>8</v>
      </c>
      <c r="M81" t="s">
        <v>119</v>
      </c>
      <c r="N81">
        <v>7</v>
      </c>
      <c r="O81">
        <v>664</v>
      </c>
      <c r="P81">
        <v>533</v>
      </c>
      <c r="Q81">
        <v>48</v>
      </c>
      <c r="R81" t="s">
        <v>421</v>
      </c>
      <c r="S81" s="3" t="s">
        <v>90</v>
      </c>
      <c r="T81" s="3">
        <f t="shared" si="3"/>
        <v>1</v>
      </c>
      <c r="U81" t="s">
        <v>96</v>
      </c>
      <c r="V81" t="s">
        <v>379</v>
      </c>
      <c r="W81" t="s">
        <v>95</v>
      </c>
      <c r="X81">
        <v>1</v>
      </c>
      <c r="Y81" t="s">
        <v>41</v>
      </c>
      <c r="Z81" t="s">
        <v>92</v>
      </c>
      <c r="AA81" t="s">
        <v>191</v>
      </c>
      <c r="AB81" t="s">
        <v>192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 t="s">
        <v>423</v>
      </c>
      <c r="AK81" t="s">
        <v>65</v>
      </c>
      <c r="AL81" t="s">
        <v>66</v>
      </c>
      <c r="AM81" t="str">
        <f t="shared" si="4"/>
        <v>2024-2027</v>
      </c>
      <c r="AN81">
        <f t="shared" si="5"/>
        <v>3</v>
      </c>
    </row>
    <row r="82" spans="1:40" x14ac:dyDescent="0.2">
      <c r="A82">
        <v>81</v>
      </c>
      <c r="B82" t="s">
        <v>426</v>
      </c>
      <c r="C82" t="s">
        <v>1718</v>
      </c>
      <c r="D82" t="s">
        <v>186</v>
      </c>
      <c r="E82" t="s">
        <v>98</v>
      </c>
      <c r="F82" t="s">
        <v>99</v>
      </c>
      <c r="G82">
        <v>18</v>
      </c>
      <c r="H82">
        <v>7.2510355000000004</v>
      </c>
      <c r="I82" t="s">
        <v>88</v>
      </c>
      <c r="J82">
        <v>17</v>
      </c>
      <c r="K82">
        <v>10.489366029999999</v>
      </c>
      <c r="L82">
        <v>4</v>
      </c>
      <c r="M82" t="s">
        <v>97</v>
      </c>
      <c r="N82">
        <v>0</v>
      </c>
      <c r="O82">
        <v>22</v>
      </c>
      <c r="P82">
        <v>29</v>
      </c>
      <c r="Q82">
        <v>49</v>
      </c>
      <c r="R82" t="s">
        <v>428</v>
      </c>
      <c r="S82" s="3" t="s">
        <v>141</v>
      </c>
      <c r="T82" s="3">
        <f t="shared" si="3"/>
        <v>1</v>
      </c>
      <c r="U82" t="s">
        <v>149</v>
      </c>
      <c r="V82" t="s">
        <v>379</v>
      </c>
      <c r="W82" t="s">
        <v>95</v>
      </c>
      <c r="X82">
        <v>1</v>
      </c>
      <c r="Y82" t="s">
        <v>41</v>
      </c>
      <c r="Z82" t="s">
        <v>92</v>
      </c>
      <c r="AA82" t="s">
        <v>191</v>
      </c>
      <c r="AB82" t="s">
        <v>297</v>
      </c>
      <c r="AC82">
        <v>2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1</v>
      </c>
      <c r="AJ82" t="s">
        <v>427</v>
      </c>
      <c r="AK82" t="s">
        <v>55</v>
      </c>
      <c r="AL82" t="s">
        <v>56</v>
      </c>
      <c r="AM82" t="str">
        <f t="shared" si="4"/>
        <v>2022-2027</v>
      </c>
      <c r="AN82">
        <f t="shared" si="5"/>
        <v>5</v>
      </c>
    </row>
    <row r="83" spans="1:40" x14ac:dyDescent="0.2">
      <c r="A83">
        <v>82</v>
      </c>
      <c r="B83" t="s">
        <v>429</v>
      </c>
      <c r="C83" t="s">
        <v>1717</v>
      </c>
      <c r="D83" t="s">
        <v>186</v>
      </c>
      <c r="E83" t="s">
        <v>98</v>
      </c>
      <c r="F83" t="s">
        <v>99</v>
      </c>
      <c r="G83">
        <v>7</v>
      </c>
      <c r="H83">
        <v>3.0048864800000001</v>
      </c>
      <c r="I83" t="s">
        <v>88</v>
      </c>
      <c r="J83">
        <v>6</v>
      </c>
      <c r="K83">
        <v>3.6305747899999998</v>
      </c>
      <c r="L83">
        <v>1</v>
      </c>
      <c r="M83" t="s">
        <v>137</v>
      </c>
      <c r="N83">
        <v>0</v>
      </c>
      <c r="O83">
        <v>9</v>
      </c>
      <c r="P83">
        <v>1</v>
      </c>
      <c r="Q83">
        <v>49</v>
      </c>
      <c r="R83" t="s">
        <v>428</v>
      </c>
      <c r="S83" s="3" t="s">
        <v>141</v>
      </c>
      <c r="T83" s="3">
        <f t="shared" si="3"/>
        <v>1</v>
      </c>
      <c r="U83" t="s">
        <v>149</v>
      </c>
      <c r="V83" t="s">
        <v>379</v>
      </c>
      <c r="W83" t="s">
        <v>95</v>
      </c>
      <c r="X83">
        <v>1</v>
      </c>
      <c r="Y83" t="s">
        <v>41</v>
      </c>
      <c r="Z83" t="s">
        <v>92</v>
      </c>
      <c r="AA83" t="s">
        <v>191</v>
      </c>
      <c r="AB83" t="s">
        <v>297</v>
      </c>
      <c r="AC83">
        <v>2</v>
      </c>
      <c r="AD83">
        <v>1</v>
      </c>
      <c r="AE83">
        <v>1</v>
      </c>
      <c r="AF83">
        <v>0</v>
      </c>
      <c r="AG83">
        <v>0</v>
      </c>
      <c r="AH83">
        <v>0</v>
      </c>
      <c r="AI83">
        <v>0</v>
      </c>
      <c r="AJ83" t="s">
        <v>430</v>
      </c>
      <c r="AK83" t="s">
        <v>74</v>
      </c>
      <c r="AL83" t="s">
        <v>75</v>
      </c>
      <c r="AM83" t="str">
        <f t="shared" si="4"/>
        <v>2014-2018</v>
      </c>
      <c r="AN83">
        <f t="shared" si="5"/>
        <v>4</v>
      </c>
    </row>
    <row r="84" spans="1:40" x14ac:dyDescent="0.2">
      <c r="A84">
        <v>83</v>
      </c>
      <c r="B84" t="s">
        <v>431</v>
      </c>
      <c r="C84" t="s">
        <v>1717</v>
      </c>
      <c r="D84" t="s">
        <v>394</v>
      </c>
      <c r="E84" t="s">
        <v>98</v>
      </c>
      <c r="F84" t="s">
        <v>99</v>
      </c>
      <c r="G84">
        <v>1</v>
      </c>
      <c r="H84">
        <v>0.47297349999999999</v>
      </c>
      <c r="I84" t="s">
        <v>88</v>
      </c>
      <c r="J84">
        <v>1</v>
      </c>
      <c r="K84">
        <v>0.35493272999999997</v>
      </c>
      <c r="L84">
        <v>1</v>
      </c>
      <c r="M84" t="s">
        <v>137</v>
      </c>
      <c r="N84">
        <v>0</v>
      </c>
      <c r="O84">
        <v>1</v>
      </c>
      <c r="P84">
        <v>1</v>
      </c>
      <c r="Q84">
        <v>49</v>
      </c>
      <c r="R84" t="s">
        <v>428</v>
      </c>
      <c r="S84" s="3" t="s">
        <v>141</v>
      </c>
      <c r="T84" s="3">
        <f t="shared" si="3"/>
        <v>1</v>
      </c>
      <c r="U84" t="s">
        <v>149</v>
      </c>
      <c r="V84" t="s">
        <v>379</v>
      </c>
      <c r="W84" t="s">
        <v>95</v>
      </c>
      <c r="X84">
        <v>1</v>
      </c>
      <c r="Y84" t="s">
        <v>41</v>
      </c>
      <c r="Z84" t="s">
        <v>92</v>
      </c>
      <c r="AA84" t="s">
        <v>191</v>
      </c>
      <c r="AB84" t="s">
        <v>297</v>
      </c>
      <c r="AC84">
        <v>1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 t="s">
        <v>432</v>
      </c>
      <c r="AK84" t="s">
        <v>93</v>
      </c>
      <c r="AL84" t="s">
        <v>94</v>
      </c>
      <c r="AM84" t="str">
        <f t="shared" si="4"/>
        <v>2020-2021</v>
      </c>
      <c r="AN84">
        <f t="shared" si="5"/>
        <v>1</v>
      </c>
    </row>
    <row r="85" spans="1:40" x14ac:dyDescent="0.2">
      <c r="A85">
        <v>84</v>
      </c>
      <c r="B85" t="s">
        <v>433</v>
      </c>
      <c r="C85" t="s">
        <v>1717</v>
      </c>
      <c r="D85" t="s">
        <v>123</v>
      </c>
      <c r="E85" t="s">
        <v>98</v>
      </c>
      <c r="F85" t="s">
        <v>99</v>
      </c>
      <c r="G85">
        <v>8</v>
      </c>
      <c r="H85">
        <v>3.133734969999999</v>
      </c>
      <c r="I85" t="s">
        <v>88</v>
      </c>
      <c r="J85">
        <v>3</v>
      </c>
      <c r="K85">
        <v>1.3089353399999999</v>
      </c>
      <c r="L85">
        <v>3</v>
      </c>
      <c r="M85" t="s">
        <v>97</v>
      </c>
      <c r="N85">
        <v>1</v>
      </c>
      <c r="O85">
        <v>15</v>
      </c>
      <c r="P85">
        <v>34</v>
      </c>
      <c r="Q85">
        <v>49</v>
      </c>
      <c r="R85" t="s">
        <v>428</v>
      </c>
      <c r="S85" s="3" t="s">
        <v>141</v>
      </c>
      <c r="T85" s="3">
        <f t="shared" si="3"/>
        <v>1</v>
      </c>
      <c r="U85" t="s">
        <v>149</v>
      </c>
      <c r="V85" t="s">
        <v>379</v>
      </c>
      <c r="W85" t="s">
        <v>95</v>
      </c>
      <c r="X85">
        <v>1</v>
      </c>
      <c r="Y85" t="s">
        <v>41</v>
      </c>
      <c r="Z85" t="s">
        <v>92</v>
      </c>
      <c r="AA85" t="s">
        <v>191</v>
      </c>
      <c r="AB85" t="s">
        <v>297</v>
      </c>
      <c r="AC85">
        <v>1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 t="s">
        <v>434</v>
      </c>
      <c r="AK85" t="s">
        <v>202</v>
      </c>
      <c r="AL85" t="s">
        <v>203</v>
      </c>
      <c r="AM85" t="str">
        <f t="shared" si="4"/>
        <v>2018-2020</v>
      </c>
      <c r="AN85">
        <f t="shared" si="5"/>
        <v>2</v>
      </c>
    </row>
    <row r="86" spans="1:40" x14ac:dyDescent="0.2">
      <c r="A86">
        <v>85</v>
      </c>
      <c r="B86" t="s">
        <v>435</v>
      </c>
      <c r="C86" t="s">
        <v>1717</v>
      </c>
      <c r="D86" t="s">
        <v>72</v>
      </c>
      <c r="E86" t="s">
        <v>68</v>
      </c>
      <c r="F86" t="s">
        <v>386</v>
      </c>
      <c r="G86">
        <v>15</v>
      </c>
      <c r="H86">
        <v>6.2637608739999999</v>
      </c>
      <c r="I86" t="s">
        <v>385</v>
      </c>
      <c r="J86">
        <v>9</v>
      </c>
      <c r="K86">
        <v>3.9019240499999999</v>
      </c>
      <c r="L86">
        <v>3</v>
      </c>
      <c r="M86" t="s">
        <v>97</v>
      </c>
      <c r="N86">
        <v>2</v>
      </c>
      <c r="O86">
        <v>16</v>
      </c>
      <c r="P86">
        <v>31</v>
      </c>
      <c r="Q86">
        <v>49</v>
      </c>
      <c r="R86" t="s">
        <v>428</v>
      </c>
      <c r="S86" s="3" t="s">
        <v>141</v>
      </c>
      <c r="T86" s="3">
        <f t="shared" si="3"/>
        <v>1</v>
      </c>
      <c r="U86" t="s">
        <v>149</v>
      </c>
      <c r="V86" t="s">
        <v>379</v>
      </c>
      <c r="W86" t="s">
        <v>95</v>
      </c>
      <c r="X86">
        <v>1</v>
      </c>
      <c r="Y86" t="s">
        <v>41</v>
      </c>
      <c r="Z86" t="s">
        <v>92</v>
      </c>
      <c r="AA86" t="s">
        <v>191</v>
      </c>
      <c r="AB86" t="s">
        <v>297</v>
      </c>
      <c r="AC86">
        <v>3</v>
      </c>
      <c r="AD86">
        <v>0</v>
      </c>
      <c r="AE86">
        <v>0</v>
      </c>
      <c r="AF86">
        <v>0</v>
      </c>
      <c r="AG86">
        <v>1</v>
      </c>
      <c r="AH86">
        <v>1</v>
      </c>
      <c r="AI86">
        <v>1</v>
      </c>
      <c r="AJ86" t="s">
        <v>436</v>
      </c>
      <c r="AK86" t="s">
        <v>269</v>
      </c>
      <c r="AL86" t="s">
        <v>270</v>
      </c>
      <c r="AM86" t="str">
        <f t="shared" si="4"/>
        <v>2020-2027</v>
      </c>
      <c r="AN86">
        <f t="shared" si="5"/>
        <v>7</v>
      </c>
    </row>
    <row r="87" spans="1:40" x14ac:dyDescent="0.2">
      <c r="A87">
        <v>86</v>
      </c>
      <c r="B87" t="s">
        <v>437</v>
      </c>
      <c r="C87" t="s">
        <v>1717</v>
      </c>
      <c r="D87" t="s">
        <v>72</v>
      </c>
      <c r="E87" t="s">
        <v>68</v>
      </c>
      <c r="F87" t="s">
        <v>373</v>
      </c>
      <c r="G87">
        <v>191</v>
      </c>
      <c r="H87">
        <v>85.873156445999967</v>
      </c>
      <c r="I87" t="s">
        <v>372</v>
      </c>
      <c r="J87">
        <v>110</v>
      </c>
      <c r="K87">
        <v>44.572971435999989</v>
      </c>
      <c r="L87">
        <v>24</v>
      </c>
      <c r="M87" t="s">
        <v>49</v>
      </c>
      <c r="N87">
        <v>62</v>
      </c>
      <c r="O87">
        <v>216</v>
      </c>
      <c r="P87">
        <v>2333</v>
      </c>
      <c r="Q87">
        <v>49</v>
      </c>
      <c r="R87" t="s">
        <v>428</v>
      </c>
      <c r="S87" s="3" t="s">
        <v>141</v>
      </c>
      <c r="T87" s="3">
        <f t="shared" si="3"/>
        <v>1</v>
      </c>
      <c r="U87" t="s">
        <v>149</v>
      </c>
      <c r="V87" t="s">
        <v>379</v>
      </c>
      <c r="W87" t="s">
        <v>95</v>
      </c>
      <c r="X87">
        <v>1</v>
      </c>
      <c r="Y87" t="s">
        <v>41</v>
      </c>
      <c r="Z87" t="s">
        <v>92</v>
      </c>
      <c r="AA87" t="s">
        <v>191</v>
      </c>
      <c r="AB87" t="s">
        <v>297</v>
      </c>
      <c r="AC87">
        <v>3</v>
      </c>
      <c r="AD87">
        <v>1</v>
      </c>
      <c r="AE87">
        <v>1</v>
      </c>
      <c r="AF87">
        <v>1</v>
      </c>
      <c r="AG87">
        <v>0</v>
      </c>
      <c r="AH87">
        <v>0</v>
      </c>
      <c r="AI87">
        <v>0</v>
      </c>
      <c r="AJ87" t="s">
        <v>438</v>
      </c>
      <c r="AK87" t="s">
        <v>109</v>
      </c>
      <c r="AL87" t="s">
        <v>110</v>
      </c>
      <c r="AM87" t="str">
        <f t="shared" si="4"/>
        <v>2014-2020</v>
      </c>
      <c r="AN87">
        <f t="shared" si="5"/>
        <v>6</v>
      </c>
    </row>
    <row r="88" spans="1:40" x14ac:dyDescent="0.2">
      <c r="A88">
        <v>87</v>
      </c>
      <c r="B88" t="s">
        <v>439</v>
      </c>
      <c r="C88" t="s">
        <v>1717</v>
      </c>
      <c r="D88" t="s">
        <v>441</v>
      </c>
      <c r="E88" t="s">
        <v>68</v>
      </c>
      <c r="F88" t="s">
        <v>362</v>
      </c>
      <c r="G88">
        <v>65</v>
      </c>
      <c r="H88">
        <v>35.757400230000023</v>
      </c>
      <c r="I88" t="s">
        <v>357</v>
      </c>
      <c r="J88">
        <v>51</v>
      </c>
      <c r="K88">
        <v>13.75555728</v>
      </c>
      <c r="L88">
        <v>20</v>
      </c>
      <c r="M88" t="s">
        <v>67</v>
      </c>
      <c r="N88">
        <v>27</v>
      </c>
      <c r="O88">
        <v>105</v>
      </c>
      <c r="P88">
        <v>1015</v>
      </c>
      <c r="Q88">
        <v>50</v>
      </c>
      <c r="R88" t="s">
        <v>442</v>
      </c>
      <c r="S88" s="3" t="s">
        <v>141</v>
      </c>
      <c r="T88" s="3">
        <f t="shared" si="3"/>
        <v>1</v>
      </c>
      <c r="U88" t="s">
        <v>149</v>
      </c>
      <c r="V88" t="s">
        <v>379</v>
      </c>
      <c r="W88" t="s">
        <v>95</v>
      </c>
      <c r="X88">
        <v>1</v>
      </c>
      <c r="Y88" t="s">
        <v>41</v>
      </c>
      <c r="Z88" t="s">
        <v>92</v>
      </c>
      <c r="AA88" t="s">
        <v>191</v>
      </c>
      <c r="AB88" t="s">
        <v>443</v>
      </c>
      <c r="AC88">
        <v>1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 t="s">
        <v>440</v>
      </c>
      <c r="AK88" t="s">
        <v>93</v>
      </c>
      <c r="AL88" t="s">
        <v>94</v>
      </c>
      <c r="AM88" t="str">
        <f t="shared" si="4"/>
        <v>2020-2021</v>
      </c>
      <c r="AN88">
        <f t="shared" si="5"/>
        <v>1</v>
      </c>
    </row>
    <row r="89" spans="1:40" x14ac:dyDescent="0.2">
      <c r="A89">
        <v>88</v>
      </c>
      <c r="B89" t="s">
        <v>444</v>
      </c>
      <c r="C89" t="s">
        <v>1717</v>
      </c>
      <c r="D89" t="s">
        <v>72</v>
      </c>
      <c r="E89" t="s">
        <v>68</v>
      </c>
      <c r="F89" t="s">
        <v>447</v>
      </c>
      <c r="G89">
        <v>27</v>
      </c>
      <c r="H89">
        <v>7.4878130650000019</v>
      </c>
      <c r="I89" t="s">
        <v>446</v>
      </c>
      <c r="J89">
        <v>21</v>
      </c>
      <c r="K89">
        <v>10.26107272</v>
      </c>
      <c r="L89">
        <v>10</v>
      </c>
      <c r="M89" t="s">
        <v>119</v>
      </c>
      <c r="N89">
        <v>11</v>
      </c>
      <c r="O89">
        <v>34</v>
      </c>
      <c r="P89">
        <v>266</v>
      </c>
      <c r="Q89">
        <v>50</v>
      </c>
      <c r="R89" t="s">
        <v>442</v>
      </c>
      <c r="S89" s="3" t="s">
        <v>141</v>
      </c>
      <c r="T89" s="3">
        <f t="shared" si="3"/>
        <v>1</v>
      </c>
      <c r="U89" t="s">
        <v>149</v>
      </c>
      <c r="V89" t="s">
        <v>379</v>
      </c>
      <c r="W89" t="s">
        <v>95</v>
      </c>
      <c r="X89">
        <v>1</v>
      </c>
      <c r="Y89" t="s">
        <v>41</v>
      </c>
      <c r="Z89" t="s">
        <v>92</v>
      </c>
      <c r="AA89" t="s">
        <v>191</v>
      </c>
      <c r="AB89" t="s">
        <v>443</v>
      </c>
      <c r="AC89">
        <v>1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 t="s">
        <v>445</v>
      </c>
      <c r="AK89" t="s">
        <v>93</v>
      </c>
      <c r="AL89" t="s">
        <v>94</v>
      </c>
      <c r="AM89" t="str">
        <f t="shared" si="4"/>
        <v>2020-2021</v>
      </c>
      <c r="AN89">
        <f t="shared" si="5"/>
        <v>1</v>
      </c>
    </row>
    <row r="90" spans="1:40" x14ac:dyDescent="0.2">
      <c r="A90">
        <v>89</v>
      </c>
      <c r="B90" t="s">
        <v>448</v>
      </c>
      <c r="C90" t="s">
        <v>1717</v>
      </c>
      <c r="D90" t="s">
        <v>72</v>
      </c>
      <c r="E90" t="s">
        <v>68</v>
      </c>
      <c r="F90" t="s">
        <v>386</v>
      </c>
      <c r="G90">
        <v>7</v>
      </c>
      <c r="H90">
        <v>3.9312717099999999</v>
      </c>
      <c r="I90" t="s">
        <v>385</v>
      </c>
      <c r="J90">
        <v>6</v>
      </c>
      <c r="K90">
        <v>2.3355980399999998</v>
      </c>
      <c r="L90">
        <v>3</v>
      </c>
      <c r="M90" t="s">
        <v>97</v>
      </c>
      <c r="N90">
        <v>2</v>
      </c>
      <c r="O90">
        <v>7</v>
      </c>
      <c r="P90">
        <v>225</v>
      </c>
      <c r="Q90">
        <v>50</v>
      </c>
      <c r="R90" t="s">
        <v>442</v>
      </c>
      <c r="S90" s="3" t="s">
        <v>141</v>
      </c>
      <c r="T90" s="3">
        <f t="shared" si="3"/>
        <v>1</v>
      </c>
      <c r="U90" t="s">
        <v>149</v>
      </c>
      <c r="V90" t="s">
        <v>379</v>
      </c>
      <c r="W90" t="s">
        <v>95</v>
      </c>
      <c r="X90">
        <v>1</v>
      </c>
      <c r="Y90" t="s">
        <v>41</v>
      </c>
      <c r="Z90" t="s">
        <v>92</v>
      </c>
      <c r="AA90" t="s">
        <v>191</v>
      </c>
      <c r="AB90" t="s">
        <v>443</v>
      </c>
      <c r="AC90">
        <v>2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1</v>
      </c>
      <c r="AJ90" t="s">
        <v>449</v>
      </c>
      <c r="AK90" t="s">
        <v>55</v>
      </c>
      <c r="AL90" t="s">
        <v>56</v>
      </c>
      <c r="AM90" t="str">
        <f t="shared" si="4"/>
        <v>2022-2027</v>
      </c>
      <c r="AN90">
        <f t="shared" si="5"/>
        <v>5</v>
      </c>
    </row>
    <row r="91" spans="1:40" x14ac:dyDescent="0.2">
      <c r="A91">
        <v>90</v>
      </c>
      <c r="B91" t="s">
        <v>450</v>
      </c>
      <c r="C91" t="s">
        <v>1717</v>
      </c>
      <c r="D91" t="s">
        <v>37</v>
      </c>
      <c r="E91" t="s">
        <v>68</v>
      </c>
      <c r="F91" t="s">
        <v>282</v>
      </c>
      <c r="G91">
        <v>8</v>
      </c>
      <c r="H91">
        <v>3.0069655200000001</v>
      </c>
      <c r="I91" t="s">
        <v>281</v>
      </c>
      <c r="J91">
        <v>3</v>
      </c>
      <c r="K91">
        <v>0.54956746000000001</v>
      </c>
      <c r="L91">
        <v>5</v>
      </c>
      <c r="M91" t="s">
        <v>119</v>
      </c>
      <c r="N91">
        <v>1</v>
      </c>
      <c r="O91">
        <v>16</v>
      </c>
      <c r="P91">
        <v>56</v>
      </c>
      <c r="Q91">
        <v>50</v>
      </c>
      <c r="R91" t="s">
        <v>442</v>
      </c>
      <c r="S91" s="3" t="s">
        <v>141</v>
      </c>
      <c r="T91" s="3">
        <f t="shared" si="3"/>
        <v>1</v>
      </c>
      <c r="U91" t="s">
        <v>149</v>
      </c>
      <c r="V91" t="s">
        <v>379</v>
      </c>
      <c r="W91" t="s">
        <v>95</v>
      </c>
      <c r="X91">
        <v>1</v>
      </c>
      <c r="Y91" t="s">
        <v>41</v>
      </c>
      <c r="Z91" t="s">
        <v>92</v>
      </c>
      <c r="AA91" t="s">
        <v>191</v>
      </c>
      <c r="AB91" t="s">
        <v>443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 t="s">
        <v>451</v>
      </c>
      <c r="AK91" t="s">
        <v>125</v>
      </c>
      <c r="AL91" t="s">
        <v>126</v>
      </c>
      <c r="AM91" t="str">
        <f t="shared" si="4"/>
        <v>2022-2024</v>
      </c>
      <c r="AN91">
        <f t="shared" si="5"/>
        <v>2</v>
      </c>
    </row>
    <row r="92" spans="1:40" x14ac:dyDescent="0.2">
      <c r="A92">
        <v>91</v>
      </c>
      <c r="B92" t="s">
        <v>452</v>
      </c>
      <c r="C92" t="s">
        <v>1717</v>
      </c>
      <c r="D92" t="s">
        <v>72</v>
      </c>
      <c r="E92" t="s">
        <v>68</v>
      </c>
      <c r="F92" t="s">
        <v>408</v>
      </c>
      <c r="G92">
        <v>15</v>
      </c>
      <c r="H92">
        <v>3.98010083</v>
      </c>
      <c r="I92" t="s">
        <v>407</v>
      </c>
      <c r="J92">
        <v>15</v>
      </c>
      <c r="K92">
        <v>7.5834234499999997</v>
      </c>
      <c r="L92">
        <v>5</v>
      </c>
      <c r="M92" t="s">
        <v>119</v>
      </c>
      <c r="N92">
        <v>2</v>
      </c>
      <c r="O92">
        <v>18</v>
      </c>
      <c r="P92">
        <v>99</v>
      </c>
      <c r="Q92">
        <v>50</v>
      </c>
      <c r="R92" t="s">
        <v>442</v>
      </c>
      <c r="S92" s="3" t="s">
        <v>141</v>
      </c>
      <c r="T92" s="3">
        <f t="shared" si="3"/>
        <v>1</v>
      </c>
      <c r="U92" t="s">
        <v>149</v>
      </c>
      <c r="V92" t="s">
        <v>379</v>
      </c>
      <c r="W92" t="s">
        <v>95</v>
      </c>
      <c r="X92">
        <v>1</v>
      </c>
      <c r="Y92" t="s">
        <v>41</v>
      </c>
      <c r="Z92" t="s">
        <v>92</v>
      </c>
      <c r="AA92" t="s">
        <v>191</v>
      </c>
      <c r="AB92" t="s">
        <v>443</v>
      </c>
      <c r="AC92">
        <v>2</v>
      </c>
      <c r="AD92">
        <v>1</v>
      </c>
      <c r="AE92">
        <v>1</v>
      </c>
      <c r="AF92">
        <v>0</v>
      </c>
      <c r="AG92">
        <v>0</v>
      </c>
      <c r="AH92">
        <v>0</v>
      </c>
      <c r="AI92">
        <v>0</v>
      </c>
      <c r="AJ92" t="s">
        <v>453</v>
      </c>
      <c r="AK92" t="s">
        <v>74</v>
      </c>
      <c r="AL92" t="s">
        <v>75</v>
      </c>
      <c r="AM92" t="str">
        <f t="shared" si="4"/>
        <v>2014-2018</v>
      </c>
      <c r="AN92">
        <f t="shared" si="5"/>
        <v>4</v>
      </c>
    </row>
    <row r="93" spans="1:40" x14ac:dyDescent="0.2">
      <c r="A93">
        <v>92</v>
      </c>
      <c r="B93" t="s">
        <v>454</v>
      </c>
      <c r="C93" t="s">
        <v>1717</v>
      </c>
      <c r="D93" t="s">
        <v>79</v>
      </c>
      <c r="E93" t="s">
        <v>98</v>
      </c>
      <c r="F93" t="s">
        <v>99</v>
      </c>
      <c r="G93">
        <v>6</v>
      </c>
      <c r="H93">
        <v>3.93764666</v>
      </c>
      <c r="I93" t="s">
        <v>88</v>
      </c>
      <c r="J93">
        <v>5</v>
      </c>
      <c r="K93">
        <v>2.2266569600000001</v>
      </c>
      <c r="L93">
        <v>4</v>
      </c>
      <c r="M93" t="s">
        <v>97</v>
      </c>
      <c r="N93">
        <v>2</v>
      </c>
      <c r="O93">
        <v>17</v>
      </c>
      <c r="P93">
        <v>69</v>
      </c>
      <c r="Q93">
        <v>51</v>
      </c>
      <c r="R93" t="s">
        <v>456</v>
      </c>
      <c r="S93" s="3" t="s">
        <v>141</v>
      </c>
      <c r="T93" s="3">
        <f t="shared" si="3"/>
        <v>1</v>
      </c>
      <c r="U93" t="s">
        <v>149</v>
      </c>
      <c r="V93" t="s">
        <v>379</v>
      </c>
      <c r="W93" t="s">
        <v>95</v>
      </c>
      <c r="X93">
        <v>1</v>
      </c>
      <c r="Y93" t="s">
        <v>41</v>
      </c>
      <c r="Z93" t="s">
        <v>92</v>
      </c>
      <c r="AA93" t="s">
        <v>191</v>
      </c>
      <c r="AB93" t="s">
        <v>457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 t="s">
        <v>455</v>
      </c>
      <c r="AK93" t="s">
        <v>125</v>
      </c>
      <c r="AL93" t="s">
        <v>126</v>
      </c>
      <c r="AM93" t="str">
        <f t="shared" si="4"/>
        <v>2022-2024</v>
      </c>
      <c r="AN93">
        <f t="shared" si="5"/>
        <v>2</v>
      </c>
    </row>
    <row r="94" spans="1:40" x14ac:dyDescent="0.2">
      <c r="A94">
        <v>93</v>
      </c>
      <c r="B94" t="s">
        <v>458</v>
      </c>
      <c r="C94" t="s">
        <v>1717</v>
      </c>
      <c r="D94" t="s">
        <v>123</v>
      </c>
      <c r="E94" t="s">
        <v>68</v>
      </c>
      <c r="F94" t="s">
        <v>461</v>
      </c>
      <c r="G94">
        <v>15</v>
      </c>
      <c r="H94">
        <v>7.8308811499999988</v>
      </c>
      <c r="I94" t="s">
        <v>460</v>
      </c>
      <c r="J94">
        <v>11</v>
      </c>
      <c r="K94">
        <v>7.6447359800000001</v>
      </c>
      <c r="L94">
        <v>10</v>
      </c>
      <c r="M94" t="s">
        <v>119</v>
      </c>
      <c r="N94">
        <v>10</v>
      </c>
      <c r="O94">
        <v>36</v>
      </c>
      <c r="P94">
        <v>546</v>
      </c>
      <c r="Q94">
        <v>51</v>
      </c>
      <c r="R94" t="s">
        <v>456</v>
      </c>
      <c r="S94" s="3" t="s">
        <v>141</v>
      </c>
      <c r="T94" s="3">
        <f t="shared" si="3"/>
        <v>1</v>
      </c>
      <c r="U94" t="s">
        <v>149</v>
      </c>
      <c r="V94" t="s">
        <v>379</v>
      </c>
      <c r="W94" t="s">
        <v>95</v>
      </c>
      <c r="X94">
        <v>1</v>
      </c>
      <c r="Y94" t="s">
        <v>41</v>
      </c>
      <c r="Z94" t="s">
        <v>92</v>
      </c>
      <c r="AA94" t="s">
        <v>191</v>
      </c>
      <c r="AB94" t="s">
        <v>457</v>
      </c>
      <c r="AC94">
        <v>1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 t="s">
        <v>459</v>
      </c>
      <c r="AK94" t="s">
        <v>202</v>
      </c>
      <c r="AL94" t="s">
        <v>203</v>
      </c>
      <c r="AM94" t="str">
        <f t="shared" si="4"/>
        <v>2018-2020</v>
      </c>
      <c r="AN94">
        <f t="shared" si="5"/>
        <v>2</v>
      </c>
    </row>
    <row r="95" spans="1:40" x14ac:dyDescent="0.2">
      <c r="A95">
        <v>94</v>
      </c>
      <c r="B95" t="s">
        <v>462</v>
      </c>
      <c r="C95" t="s">
        <v>1717</v>
      </c>
      <c r="D95" t="s">
        <v>37</v>
      </c>
      <c r="E95" t="s">
        <v>98</v>
      </c>
      <c r="F95" t="s">
        <v>99</v>
      </c>
      <c r="G95">
        <v>4</v>
      </c>
      <c r="H95">
        <v>1.56069708</v>
      </c>
      <c r="I95" t="s">
        <v>88</v>
      </c>
      <c r="J95">
        <v>4</v>
      </c>
      <c r="K95">
        <v>2.0059483999999999</v>
      </c>
      <c r="L95">
        <v>1</v>
      </c>
      <c r="M95" t="s">
        <v>137</v>
      </c>
      <c r="N95">
        <v>0</v>
      </c>
      <c r="O95">
        <v>9</v>
      </c>
      <c r="P95">
        <v>5</v>
      </c>
      <c r="Q95">
        <v>51</v>
      </c>
      <c r="R95" t="s">
        <v>456</v>
      </c>
      <c r="S95" s="3" t="s">
        <v>141</v>
      </c>
      <c r="T95" s="3">
        <f t="shared" si="3"/>
        <v>1</v>
      </c>
      <c r="U95" t="s">
        <v>149</v>
      </c>
      <c r="V95" t="s">
        <v>379</v>
      </c>
      <c r="W95" t="s">
        <v>95</v>
      </c>
      <c r="X95">
        <v>1</v>
      </c>
      <c r="Y95" t="s">
        <v>41</v>
      </c>
      <c r="Z95" t="s">
        <v>92</v>
      </c>
      <c r="AA95" t="s">
        <v>191</v>
      </c>
      <c r="AB95" t="s">
        <v>457</v>
      </c>
      <c r="AC95">
        <v>1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 t="s">
        <v>463</v>
      </c>
      <c r="AK95" t="s">
        <v>93</v>
      </c>
      <c r="AL95" t="s">
        <v>94</v>
      </c>
      <c r="AM95" t="str">
        <f t="shared" si="4"/>
        <v>2020-2021</v>
      </c>
      <c r="AN95">
        <f t="shared" si="5"/>
        <v>1</v>
      </c>
    </row>
    <row r="96" spans="1:40" x14ac:dyDescent="0.2">
      <c r="A96">
        <v>95</v>
      </c>
      <c r="B96" t="s">
        <v>464</v>
      </c>
      <c r="C96" t="s">
        <v>1717</v>
      </c>
      <c r="D96" t="s">
        <v>37</v>
      </c>
      <c r="E96" t="s">
        <v>98</v>
      </c>
      <c r="F96" t="s">
        <v>99</v>
      </c>
      <c r="G96">
        <v>1</v>
      </c>
      <c r="H96">
        <v>0.48983404000000003</v>
      </c>
      <c r="I96" t="s">
        <v>88</v>
      </c>
      <c r="J96">
        <v>1</v>
      </c>
      <c r="K96">
        <v>0.41073182000000003</v>
      </c>
      <c r="L96">
        <v>0</v>
      </c>
      <c r="M96" t="s">
        <v>137</v>
      </c>
      <c r="N96">
        <v>0</v>
      </c>
      <c r="O96">
        <v>1</v>
      </c>
      <c r="P96">
        <v>0</v>
      </c>
      <c r="Q96">
        <v>51</v>
      </c>
      <c r="R96" t="s">
        <v>456</v>
      </c>
      <c r="S96" s="3" t="s">
        <v>141</v>
      </c>
      <c r="T96" s="3">
        <f t="shared" si="3"/>
        <v>1</v>
      </c>
      <c r="U96" t="s">
        <v>149</v>
      </c>
      <c r="V96" t="s">
        <v>379</v>
      </c>
      <c r="W96" t="s">
        <v>95</v>
      </c>
      <c r="X96">
        <v>1</v>
      </c>
      <c r="Y96" t="s">
        <v>41</v>
      </c>
      <c r="Z96" t="s">
        <v>92</v>
      </c>
      <c r="AA96" t="s">
        <v>191</v>
      </c>
      <c r="AB96" t="s">
        <v>457</v>
      </c>
      <c r="AC96">
        <v>2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 t="s">
        <v>465</v>
      </c>
      <c r="AK96" t="s">
        <v>82</v>
      </c>
      <c r="AL96" t="s">
        <v>83</v>
      </c>
      <c r="AM96" t="str">
        <f t="shared" si="4"/>
        <v>2014-2016</v>
      </c>
      <c r="AN96">
        <f t="shared" si="5"/>
        <v>2</v>
      </c>
    </row>
    <row r="97" spans="1:40" x14ac:dyDescent="0.2">
      <c r="A97">
        <v>96</v>
      </c>
      <c r="B97" t="s">
        <v>466</v>
      </c>
      <c r="C97" t="s">
        <v>1718</v>
      </c>
      <c r="D97" t="s">
        <v>72</v>
      </c>
      <c r="E97" t="s">
        <v>68</v>
      </c>
      <c r="F97" t="s">
        <v>447</v>
      </c>
      <c r="G97">
        <v>18</v>
      </c>
      <c r="H97">
        <v>6.057291835</v>
      </c>
      <c r="I97" t="s">
        <v>446</v>
      </c>
      <c r="J97">
        <v>14</v>
      </c>
      <c r="K97">
        <v>5.9115804699999996</v>
      </c>
      <c r="L97">
        <v>5</v>
      </c>
      <c r="M97" t="s">
        <v>119</v>
      </c>
      <c r="N97">
        <v>5</v>
      </c>
      <c r="O97">
        <v>25</v>
      </c>
      <c r="P97">
        <v>270</v>
      </c>
      <c r="Q97">
        <v>51</v>
      </c>
      <c r="R97" t="s">
        <v>456</v>
      </c>
      <c r="S97" s="3" t="s">
        <v>141</v>
      </c>
      <c r="T97" s="3">
        <f t="shared" si="3"/>
        <v>1</v>
      </c>
      <c r="U97" t="s">
        <v>149</v>
      </c>
      <c r="V97" t="s">
        <v>379</v>
      </c>
      <c r="W97" t="s">
        <v>95</v>
      </c>
      <c r="X97">
        <v>1</v>
      </c>
      <c r="Y97" t="s">
        <v>41</v>
      </c>
      <c r="Z97" t="s">
        <v>92</v>
      </c>
      <c r="AA97" t="s">
        <v>191</v>
      </c>
      <c r="AB97" t="s">
        <v>457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 t="s">
        <v>467</v>
      </c>
      <c r="AK97" t="s">
        <v>65</v>
      </c>
      <c r="AL97" t="s">
        <v>66</v>
      </c>
      <c r="AM97" t="str">
        <f t="shared" si="4"/>
        <v>2024-2027</v>
      </c>
      <c r="AN97">
        <f t="shared" si="5"/>
        <v>3</v>
      </c>
    </row>
    <row r="98" spans="1:40" x14ac:dyDescent="0.2">
      <c r="A98">
        <v>97</v>
      </c>
      <c r="B98" t="s">
        <v>468</v>
      </c>
      <c r="C98" t="s">
        <v>1718</v>
      </c>
      <c r="D98" t="s">
        <v>114</v>
      </c>
      <c r="E98" t="s">
        <v>68</v>
      </c>
      <c r="F98" t="s">
        <v>471</v>
      </c>
      <c r="G98">
        <v>12</v>
      </c>
      <c r="H98">
        <v>8.2214828900000008</v>
      </c>
      <c r="I98" t="s">
        <v>470</v>
      </c>
      <c r="J98">
        <v>12</v>
      </c>
      <c r="K98">
        <v>6.6044956199999998</v>
      </c>
      <c r="L98">
        <v>10</v>
      </c>
      <c r="M98" t="s">
        <v>119</v>
      </c>
      <c r="N98">
        <v>11</v>
      </c>
      <c r="O98">
        <v>15</v>
      </c>
      <c r="P98">
        <v>335</v>
      </c>
      <c r="Q98">
        <v>51</v>
      </c>
      <c r="R98" t="s">
        <v>456</v>
      </c>
      <c r="S98" s="3" t="s">
        <v>141</v>
      </c>
      <c r="T98" s="3">
        <f t="shared" si="3"/>
        <v>1</v>
      </c>
      <c r="U98" t="s">
        <v>149</v>
      </c>
      <c r="V98" t="s">
        <v>379</v>
      </c>
      <c r="W98" t="s">
        <v>95</v>
      </c>
      <c r="X98">
        <v>1</v>
      </c>
      <c r="Y98" t="s">
        <v>41</v>
      </c>
      <c r="Z98" t="s">
        <v>92</v>
      </c>
      <c r="AA98" t="s">
        <v>191</v>
      </c>
      <c r="AB98" t="s">
        <v>457</v>
      </c>
      <c r="AC98">
        <v>1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 t="s">
        <v>469</v>
      </c>
      <c r="AK98" t="s">
        <v>320</v>
      </c>
      <c r="AL98" t="s">
        <v>321</v>
      </c>
      <c r="AM98" t="str">
        <f t="shared" si="4"/>
        <v>2016-2018</v>
      </c>
      <c r="AN98">
        <f t="shared" si="5"/>
        <v>2</v>
      </c>
    </row>
    <row r="99" spans="1:40" x14ac:dyDescent="0.2">
      <c r="A99">
        <v>98</v>
      </c>
      <c r="B99" t="s">
        <v>472</v>
      </c>
      <c r="C99" t="s">
        <v>1718</v>
      </c>
      <c r="D99" t="s">
        <v>114</v>
      </c>
      <c r="E99" t="s">
        <v>476</v>
      </c>
      <c r="F99" t="s">
        <v>477</v>
      </c>
      <c r="G99">
        <v>7</v>
      </c>
      <c r="H99">
        <v>2.13488678</v>
      </c>
      <c r="I99" t="s">
        <v>474</v>
      </c>
      <c r="J99">
        <v>4</v>
      </c>
      <c r="K99">
        <v>1.3846870600000001</v>
      </c>
      <c r="L99">
        <v>3</v>
      </c>
      <c r="M99" t="s">
        <v>97</v>
      </c>
      <c r="N99">
        <v>0</v>
      </c>
      <c r="O99">
        <v>14</v>
      </c>
      <c r="P99">
        <v>17</v>
      </c>
      <c r="Q99">
        <v>52</v>
      </c>
      <c r="R99" t="s">
        <v>475</v>
      </c>
      <c r="S99" s="3" t="s">
        <v>90</v>
      </c>
      <c r="T99" s="3">
        <f t="shared" si="3"/>
        <v>1</v>
      </c>
      <c r="U99" t="s">
        <v>96</v>
      </c>
      <c r="V99" t="s">
        <v>379</v>
      </c>
      <c r="W99" t="s">
        <v>95</v>
      </c>
      <c r="X99">
        <v>1</v>
      </c>
      <c r="Y99" t="s">
        <v>41</v>
      </c>
      <c r="Z99" t="s">
        <v>92</v>
      </c>
      <c r="AA99" t="s">
        <v>43</v>
      </c>
      <c r="AB99" t="s">
        <v>118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 t="s">
        <v>473</v>
      </c>
      <c r="AK99" t="s">
        <v>65</v>
      </c>
      <c r="AL99" t="s">
        <v>66</v>
      </c>
      <c r="AM99" t="str">
        <f t="shared" si="4"/>
        <v>2024-2027</v>
      </c>
      <c r="AN99">
        <f t="shared" si="5"/>
        <v>3</v>
      </c>
    </row>
    <row r="100" spans="1:40" x14ac:dyDescent="0.2">
      <c r="A100">
        <v>99</v>
      </c>
      <c r="B100" t="s">
        <v>478</v>
      </c>
      <c r="C100" t="s">
        <v>1717</v>
      </c>
      <c r="D100" t="s">
        <v>248</v>
      </c>
      <c r="E100" t="s">
        <v>98</v>
      </c>
      <c r="F100" t="s">
        <v>99</v>
      </c>
      <c r="G100">
        <v>12</v>
      </c>
      <c r="H100">
        <v>4.4675845499999998</v>
      </c>
      <c r="I100" t="s">
        <v>88</v>
      </c>
      <c r="J100">
        <v>13</v>
      </c>
      <c r="K100">
        <v>7.1641581300000006</v>
      </c>
      <c r="L100">
        <v>2</v>
      </c>
      <c r="M100" t="s">
        <v>97</v>
      </c>
      <c r="N100">
        <v>1</v>
      </c>
      <c r="O100">
        <v>19</v>
      </c>
      <c r="P100">
        <v>25</v>
      </c>
      <c r="Q100">
        <v>52</v>
      </c>
      <c r="R100" t="s">
        <v>475</v>
      </c>
      <c r="S100" s="3" t="s">
        <v>90</v>
      </c>
      <c r="T100" s="3">
        <f t="shared" si="3"/>
        <v>1</v>
      </c>
      <c r="U100" t="s">
        <v>96</v>
      </c>
      <c r="V100" t="s">
        <v>379</v>
      </c>
      <c r="W100" t="s">
        <v>95</v>
      </c>
      <c r="X100">
        <v>1</v>
      </c>
      <c r="Y100" t="s">
        <v>41</v>
      </c>
      <c r="Z100" t="s">
        <v>92</v>
      </c>
      <c r="AA100" t="s">
        <v>43</v>
      </c>
      <c r="AB100" t="s">
        <v>118</v>
      </c>
      <c r="AC100">
        <v>2</v>
      </c>
      <c r="AD100">
        <v>0</v>
      </c>
      <c r="AE100">
        <v>0</v>
      </c>
      <c r="AF100">
        <v>0</v>
      </c>
      <c r="AG100">
        <v>1</v>
      </c>
      <c r="AH100">
        <v>1</v>
      </c>
      <c r="AI100">
        <v>0</v>
      </c>
      <c r="AJ100" t="s">
        <v>479</v>
      </c>
      <c r="AK100" t="s">
        <v>213</v>
      </c>
      <c r="AL100" t="s">
        <v>214</v>
      </c>
      <c r="AM100" t="str">
        <f t="shared" si="4"/>
        <v>2020-2024</v>
      </c>
      <c r="AN100">
        <f t="shared" si="5"/>
        <v>4</v>
      </c>
    </row>
    <row r="101" spans="1:40" x14ac:dyDescent="0.2">
      <c r="A101">
        <v>100</v>
      </c>
      <c r="B101" t="s">
        <v>480</v>
      </c>
      <c r="C101" t="s">
        <v>1717</v>
      </c>
      <c r="D101" t="s">
        <v>72</v>
      </c>
      <c r="E101" t="s">
        <v>98</v>
      </c>
      <c r="F101" t="s">
        <v>99</v>
      </c>
      <c r="G101">
        <v>32</v>
      </c>
      <c r="H101">
        <v>12.765830585</v>
      </c>
      <c r="I101" t="s">
        <v>88</v>
      </c>
      <c r="J101">
        <v>19</v>
      </c>
      <c r="K101">
        <v>9.2379231500000003</v>
      </c>
      <c r="L101">
        <v>7</v>
      </c>
      <c r="M101" t="s">
        <v>119</v>
      </c>
      <c r="N101">
        <v>3</v>
      </c>
      <c r="O101">
        <v>55</v>
      </c>
      <c r="P101">
        <v>159</v>
      </c>
      <c r="Q101">
        <v>52</v>
      </c>
      <c r="R101" t="s">
        <v>475</v>
      </c>
      <c r="S101" s="3" t="s">
        <v>90</v>
      </c>
      <c r="T101" s="3">
        <f t="shared" si="3"/>
        <v>1</v>
      </c>
      <c r="U101" t="s">
        <v>96</v>
      </c>
      <c r="V101" t="s">
        <v>379</v>
      </c>
      <c r="W101" t="s">
        <v>95</v>
      </c>
      <c r="X101">
        <v>1</v>
      </c>
      <c r="Y101" t="s">
        <v>41</v>
      </c>
      <c r="Z101" t="s">
        <v>92</v>
      </c>
      <c r="AA101" t="s">
        <v>43</v>
      </c>
      <c r="AB101" t="s">
        <v>118</v>
      </c>
      <c r="AC101">
        <v>2</v>
      </c>
      <c r="AD101">
        <v>0</v>
      </c>
      <c r="AE101">
        <v>1</v>
      </c>
      <c r="AF101">
        <v>1</v>
      </c>
      <c r="AG101">
        <v>0</v>
      </c>
      <c r="AH101">
        <v>0</v>
      </c>
      <c r="AI101">
        <v>0</v>
      </c>
      <c r="AJ101" t="s">
        <v>481</v>
      </c>
      <c r="AK101" t="s">
        <v>156</v>
      </c>
      <c r="AL101" t="s">
        <v>157</v>
      </c>
      <c r="AM101" t="str">
        <f t="shared" si="4"/>
        <v>2016-2020</v>
      </c>
      <c r="AN101">
        <f t="shared" si="5"/>
        <v>4</v>
      </c>
    </row>
    <row r="102" spans="1:40" x14ac:dyDescent="0.2">
      <c r="A102">
        <v>101</v>
      </c>
      <c r="B102" t="s">
        <v>482</v>
      </c>
      <c r="C102" t="s">
        <v>1718</v>
      </c>
      <c r="D102" t="s">
        <v>394</v>
      </c>
      <c r="E102" t="s">
        <v>98</v>
      </c>
      <c r="F102" t="s">
        <v>99</v>
      </c>
      <c r="G102">
        <v>1</v>
      </c>
      <c r="H102">
        <v>0.50106070000000003</v>
      </c>
      <c r="I102" t="s">
        <v>88</v>
      </c>
      <c r="J102">
        <v>1</v>
      </c>
      <c r="K102">
        <v>0.72061794999999995</v>
      </c>
      <c r="L102">
        <v>0</v>
      </c>
      <c r="M102" t="s">
        <v>137</v>
      </c>
      <c r="N102">
        <v>0</v>
      </c>
      <c r="O102">
        <v>2</v>
      </c>
      <c r="P102">
        <v>0</v>
      </c>
      <c r="Q102">
        <v>52</v>
      </c>
      <c r="R102" t="s">
        <v>475</v>
      </c>
      <c r="S102" s="3" t="s">
        <v>90</v>
      </c>
      <c r="T102" s="3">
        <f t="shared" si="3"/>
        <v>1</v>
      </c>
      <c r="U102" t="s">
        <v>96</v>
      </c>
      <c r="V102" t="s">
        <v>379</v>
      </c>
      <c r="W102" t="s">
        <v>95</v>
      </c>
      <c r="X102">
        <v>1</v>
      </c>
      <c r="Y102" t="s">
        <v>41</v>
      </c>
      <c r="Z102" t="s">
        <v>92</v>
      </c>
      <c r="AA102" t="s">
        <v>43</v>
      </c>
      <c r="AB102" t="s">
        <v>118</v>
      </c>
      <c r="AC102">
        <v>2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</v>
      </c>
      <c r="AJ102" t="s">
        <v>483</v>
      </c>
      <c r="AK102" t="s">
        <v>82</v>
      </c>
      <c r="AL102" t="s">
        <v>83</v>
      </c>
      <c r="AM102" t="str">
        <f t="shared" si="4"/>
        <v>2014-2016</v>
      </c>
      <c r="AN102">
        <f t="shared" si="5"/>
        <v>2</v>
      </c>
    </row>
    <row r="103" spans="1:40" x14ac:dyDescent="0.2">
      <c r="A103">
        <v>102</v>
      </c>
      <c r="B103" t="s">
        <v>484</v>
      </c>
      <c r="C103" t="s">
        <v>1717</v>
      </c>
      <c r="D103" t="s">
        <v>72</v>
      </c>
      <c r="E103" t="s">
        <v>68</v>
      </c>
      <c r="F103" t="s">
        <v>489</v>
      </c>
      <c r="G103">
        <v>13</v>
      </c>
      <c r="H103">
        <v>5.5393693500000003</v>
      </c>
      <c r="I103" t="s">
        <v>486</v>
      </c>
      <c r="J103">
        <v>8</v>
      </c>
      <c r="K103">
        <v>4.30627023</v>
      </c>
      <c r="L103">
        <v>6</v>
      </c>
      <c r="M103" t="s">
        <v>119</v>
      </c>
      <c r="N103">
        <v>4</v>
      </c>
      <c r="O103">
        <v>15</v>
      </c>
      <c r="P103">
        <v>155</v>
      </c>
      <c r="Q103">
        <v>53</v>
      </c>
      <c r="R103" t="s">
        <v>487</v>
      </c>
      <c r="S103" s="3" t="s">
        <v>141</v>
      </c>
      <c r="T103" s="3">
        <f t="shared" si="3"/>
        <v>1</v>
      </c>
      <c r="U103" t="s">
        <v>149</v>
      </c>
      <c r="V103" t="s">
        <v>379</v>
      </c>
      <c r="W103" t="s">
        <v>95</v>
      </c>
      <c r="X103">
        <v>1</v>
      </c>
      <c r="Y103" t="s">
        <v>41</v>
      </c>
      <c r="Z103" t="s">
        <v>92</v>
      </c>
      <c r="AA103" t="s">
        <v>360</v>
      </c>
      <c r="AB103" t="s">
        <v>488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 t="s">
        <v>485</v>
      </c>
      <c r="AK103" t="s">
        <v>65</v>
      </c>
      <c r="AL103" t="s">
        <v>66</v>
      </c>
      <c r="AM103" t="str">
        <f t="shared" si="4"/>
        <v>2024-2027</v>
      </c>
      <c r="AN103">
        <f t="shared" si="5"/>
        <v>3</v>
      </c>
    </row>
    <row r="104" spans="1:40" x14ac:dyDescent="0.2">
      <c r="A104">
        <v>103</v>
      </c>
      <c r="B104" t="s">
        <v>490</v>
      </c>
      <c r="C104" t="s">
        <v>1718</v>
      </c>
      <c r="D104" t="s">
        <v>72</v>
      </c>
      <c r="E104" t="s">
        <v>68</v>
      </c>
      <c r="F104" t="s">
        <v>493</v>
      </c>
      <c r="G104">
        <v>7</v>
      </c>
      <c r="H104">
        <v>1.7928314700000001</v>
      </c>
      <c r="I104" t="s">
        <v>492</v>
      </c>
      <c r="J104">
        <v>6</v>
      </c>
      <c r="K104">
        <v>4.703506710000001</v>
      </c>
      <c r="L104">
        <v>2</v>
      </c>
      <c r="M104" t="s">
        <v>97</v>
      </c>
      <c r="N104">
        <v>2</v>
      </c>
      <c r="O104">
        <v>7</v>
      </c>
      <c r="P104">
        <v>42</v>
      </c>
      <c r="Q104">
        <v>53</v>
      </c>
      <c r="R104" t="s">
        <v>487</v>
      </c>
      <c r="S104" s="3" t="s">
        <v>141</v>
      </c>
      <c r="T104" s="3">
        <f t="shared" si="3"/>
        <v>1</v>
      </c>
      <c r="U104" t="s">
        <v>149</v>
      </c>
      <c r="V104" t="s">
        <v>379</v>
      </c>
      <c r="W104" t="s">
        <v>95</v>
      </c>
      <c r="X104">
        <v>1</v>
      </c>
      <c r="Y104" t="s">
        <v>41</v>
      </c>
      <c r="Z104" t="s">
        <v>92</v>
      </c>
      <c r="AA104" t="s">
        <v>360</v>
      </c>
      <c r="AB104" t="s">
        <v>488</v>
      </c>
      <c r="AC104">
        <v>5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0</v>
      </c>
      <c r="AJ104" t="s">
        <v>491</v>
      </c>
      <c r="AK104" t="s">
        <v>255</v>
      </c>
      <c r="AL104" t="s">
        <v>256</v>
      </c>
      <c r="AM104" t="str">
        <f t="shared" si="4"/>
        <v>2014-2024</v>
      </c>
      <c r="AN104">
        <f t="shared" si="5"/>
        <v>10</v>
      </c>
    </row>
    <row r="105" spans="1:40" x14ac:dyDescent="0.2">
      <c r="A105">
        <v>104</v>
      </c>
      <c r="B105" t="s">
        <v>494</v>
      </c>
      <c r="C105" t="s">
        <v>1717</v>
      </c>
      <c r="D105" t="s">
        <v>123</v>
      </c>
      <c r="E105" t="s">
        <v>476</v>
      </c>
      <c r="F105" t="s">
        <v>498</v>
      </c>
      <c r="G105">
        <v>34</v>
      </c>
      <c r="H105">
        <v>14.87619952</v>
      </c>
      <c r="I105" t="s">
        <v>496</v>
      </c>
      <c r="J105">
        <v>27</v>
      </c>
      <c r="K105">
        <v>9.8589940199999972</v>
      </c>
      <c r="L105">
        <v>8</v>
      </c>
      <c r="M105" t="s">
        <v>119</v>
      </c>
      <c r="N105">
        <v>8</v>
      </c>
      <c r="O105">
        <v>50</v>
      </c>
      <c r="P105">
        <v>249</v>
      </c>
      <c r="Q105">
        <v>54</v>
      </c>
      <c r="R105" t="s">
        <v>497</v>
      </c>
      <c r="S105" s="3" t="s">
        <v>90</v>
      </c>
      <c r="T105" s="3">
        <f t="shared" si="3"/>
        <v>1</v>
      </c>
      <c r="U105" t="s">
        <v>96</v>
      </c>
      <c r="V105" t="s">
        <v>379</v>
      </c>
      <c r="W105" t="s">
        <v>95</v>
      </c>
      <c r="X105">
        <v>1</v>
      </c>
      <c r="Y105" t="s">
        <v>41</v>
      </c>
      <c r="Z105" t="s">
        <v>92</v>
      </c>
      <c r="AA105" t="s">
        <v>224</v>
      </c>
      <c r="AB105" t="s">
        <v>346</v>
      </c>
      <c r="AC105">
        <v>2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1</v>
      </c>
      <c r="AJ105" t="s">
        <v>495</v>
      </c>
      <c r="AK105" t="s">
        <v>55</v>
      </c>
      <c r="AL105" t="s">
        <v>56</v>
      </c>
      <c r="AM105" t="str">
        <f t="shared" si="4"/>
        <v>2022-2027</v>
      </c>
      <c r="AN105">
        <f t="shared" si="5"/>
        <v>5</v>
      </c>
    </row>
    <row r="106" spans="1:40" x14ac:dyDescent="0.2">
      <c r="A106">
        <v>105</v>
      </c>
      <c r="B106" t="s">
        <v>499</v>
      </c>
      <c r="C106" t="s">
        <v>1718</v>
      </c>
      <c r="D106" t="s">
        <v>72</v>
      </c>
      <c r="E106" t="s">
        <v>68</v>
      </c>
      <c r="F106" t="s">
        <v>502</v>
      </c>
      <c r="G106">
        <v>7</v>
      </c>
      <c r="H106">
        <v>2.98923323</v>
      </c>
      <c r="I106" t="s">
        <v>501</v>
      </c>
      <c r="J106">
        <v>6</v>
      </c>
      <c r="K106">
        <v>2.65427386</v>
      </c>
      <c r="L106">
        <v>4</v>
      </c>
      <c r="M106" t="s">
        <v>97</v>
      </c>
      <c r="N106">
        <v>3</v>
      </c>
      <c r="O106">
        <v>8</v>
      </c>
      <c r="P106">
        <v>78</v>
      </c>
      <c r="Q106">
        <v>54</v>
      </c>
      <c r="R106" t="s">
        <v>497</v>
      </c>
      <c r="S106" s="3" t="s">
        <v>90</v>
      </c>
      <c r="T106" s="3">
        <f t="shared" si="3"/>
        <v>1</v>
      </c>
      <c r="U106" t="s">
        <v>96</v>
      </c>
      <c r="V106" t="s">
        <v>379</v>
      </c>
      <c r="W106" t="s">
        <v>95</v>
      </c>
      <c r="X106">
        <v>1</v>
      </c>
      <c r="Y106" t="s">
        <v>41</v>
      </c>
      <c r="Z106" t="s">
        <v>92</v>
      </c>
      <c r="AA106" t="s">
        <v>224</v>
      </c>
      <c r="AB106" t="s">
        <v>346</v>
      </c>
      <c r="AC106">
        <v>3</v>
      </c>
      <c r="AD106">
        <v>0</v>
      </c>
      <c r="AE106">
        <v>1</v>
      </c>
      <c r="AF106">
        <v>1</v>
      </c>
      <c r="AG106">
        <v>1</v>
      </c>
      <c r="AH106">
        <v>0</v>
      </c>
      <c r="AI106">
        <v>0</v>
      </c>
      <c r="AJ106" t="s">
        <v>500</v>
      </c>
      <c r="AK106" t="s">
        <v>131</v>
      </c>
      <c r="AL106" t="s">
        <v>132</v>
      </c>
      <c r="AM106" t="str">
        <f t="shared" si="4"/>
        <v>2016-2021</v>
      </c>
      <c r="AN106">
        <f t="shared" si="5"/>
        <v>5</v>
      </c>
    </row>
    <row r="107" spans="1:40" x14ac:dyDescent="0.2">
      <c r="A107">
        <v>106</v>
      </c>
      <c r="B107" t="s">
        <v>503</v>
      </c>
      <c r="C107" t="s">
        <v>1717</v>
      </c>
      <c r="D107" t="s">
        <v>37</v>
      </c>
      <c r="E107" t="s">
        <v>98</v>
      </c>
      <c r="F107" t="s">
        <v>99</v>
      </c>
      <c r="G107">
        <v>7</v>
      </c>
      <c r="H107">
        <v>2.5043033800000001</v>
      </c>
      <c r="I107" t="s">
        <v>88</v>
      </c>
      <c r="J107">
        <v>6</v>
      </c>
      <c r="K107">
        <v>2.8625396699999999</v>
      </c>
      <c r="L107">
        <v>2</v>
      </c>
      <c r="M107" t="s">
        <v>97</v>
      </c>
      <c r="N107">
        <v>0</v>
      </c>
      <c r="O107">
        <v>13</v>
      </c>
      <c r="P107">
        <v>7</v>
      </c>
      <c r="Q107">
        <v>54</v>
      </c>
      <c r="R107" t="s">
        <v>497</v>
      </c>
      <c r="S107" s="3" t="s">
        <v>90</v>
      </c>
      <c r="T107" s="3">
        <f t="shared" si="3"/>
        <v>1</v>
      </c>
      <c r="U107" t="s">
        <v>96</v>
      </c>
      <c r="V107" t="s">
        <v>379</v>
      </c>
      <c r="W107" t="s">
        <v>95</v>
      </c>
      <c r="X107">
        <v>1</v>
      </c>
      <c r="Y107" t="s">
        <v>41</v>
      </c>
      <c r="Z107" t="s">
        <v>92</v>
      </c>
      <c r="AA107" t="s">
        <v>224</v>
      </c>
      <c r="AB107" t="s">
        <v>346</v>
      </c>
      <c r="AC107">
        <v>2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0</v>
      </c>
      <c r="AJ107" t="s">
        <v>504</v>
      </c>
      <c r="AK107" t="s">
        <v>82</v>
      </c>
      <c r="AL107" t="s">
        <v>83</v>
      </c>
      <c r="AM107" t="str">
        <f t="shared" si="4"/>
        <v>2014-2016</v>
      </c>
      <c r="AN107">
        <f t="shared" si="5"/>
        <v>2</v>
      </c>
    </row>
    <row r="108" spans="1:40" x14ac:dyDescent="0.2">
      <c r="A108">
        <v>107</v>
      </c>
      <c r="B108" t="s">
        <v>505</v>
      </c>
      <c r="C108" t="s">
        <v>1717</v>
      </c>
      <c r="D108" t="s">
        <v>123</v>
      </c>
      <c r="E108" t="s">
        <v>68</v>
      </c>
      <c r="F108" t="s">
        <v>509</v>
      </c>
      <c r="G108">
        <v>24</v>
      </c>
      <c r="H108">
        <v>15.26934763</v>
      </c>
      <c r="I108" t="s">
        <v>507</v>
      </c>
      <c r="J108">
        <v>18</v>
      </c>
      <c r="K108">
        <v>10.068493200000001</v>
      </c>
      <c r="L108">
        <v>10</v>
      </c>
      <c r="M108" t="s">
        <v>119</v>
      </c>
      <c r="N108">
        <v>10</v>
      </c>
      <c r="O108">
        <v>29</v>
      </c>
      <c r="P108">
        <v>230</v>
      </c>
      <c r="Q108">
        <v>55</v>
      </c>
      <c r="R108" t="s">
        <v>508</v>
      </c>
      <c r="S108" s="3" t="s">
        <v>90</v>
      </c>
      <c r="T108" s="3">
        <f t="shared" si="3"/>
        <v>1</v>
      </c>
      <c r="U108" t="s">
        <v>96</v>
      </c>
      <c r="V108" t="s">
        <v>379</v>
      </c>
      <c r="W108" t="s">
        <v>95</v>
      </c>
      <c r="X108">
        <v>1</v>
      </c>
      <c r="Y108" t="s">
        <v>41</v>
      </c>
      <c r="Z108" t="s">
        <v>92</v>
      </c>
      <c r="AA108" t="s">
        <v>43</v>
      </c>
      <c r="AB108" t="s">
        <v>81</v>
      </c>
      <c r="AC108">
        <v>2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1</v>
      </c>
      <c r="AJ108" t="s">
        <v>506</v>
      </c>
      <c r="AK108" t="s">
        <v>55</v>
      </c>
      <c r="AL108" t="s">
        <v>56</v>
      </c>
      <c r="AM108" t="str">
        <f t="shared" si="4"/>
        <v>2022-2027</v>
      </c>
      <c r="AN108">
        <f t="shared" si="5"/>
        <v>5</v>
      </c>
    </row>
    <row r="109" spans="1:40" x14ac:dyDescent="0.2">
      <c r="A109">
        <v>108</v>
      </c>
      <c r="B109" t="s">
        <v>510</v>
      </c>
      <c r="C109" t="s">
        <v>1718</v>
      </c>
      <c r="D109" t="s">
        <v>37</v>
      </c>
      <c r="E109" t="s">
        <v>98</v>
      </c>
      <c r="F109" t="s">
        <v>99</v>
      </c>
      <c r="G109">
        <v>3</v>
      </c>
      <c r="H109">
        <v>2.2156807999999999</v>
      </c>
      <c r="I109" t="s">
        <v>88</v>
      </c>
      <c r="J109">
        <v>2</v>
      </c>
      <c r="K109">
        <v>1.3423193499999999</v>
      </c>
      <c r="L109">
        <v>1</v>
      </c>
      <c r="M109" t="s">
        <v>137</v>
      </c>
      <c r="N109">
        <v>0</v>
      </c>
      <c r="O109">
        <v>3</v>
      </c>
      <c r="P109">
        <v>2</v>
      </c>
      <c r="Q109">
        <v>55</v>
      </c>
      <c r="R109" t="s">
        <v>508</v>
      </c>
      <c r="S109" s="3" t="s">
        <v>90</v>
      </c>
      <c r="T109" s="3">
        <f t="shared" si="3"/>
        <v>1</v>
      </c>
      <c r="U109" t="s">
        <v>96</v>
      </c>
      <c r="V109" t="s">
        <v>379</v>
      </c>
      <c r="W109" t="s">
        <v>95</v>
      </c>
      <c r="X109">
        <v>1</v>
      </c>
      <c r="Y109" t="s">
        <v>41</v>
      </c>
      <c r="Z109" t="s">
        <v>92</v>
      </c>
      <c r="AA109" t="s">
        <v>43</v>
      </c>
      <c r="AB109" t="s">
        <v>81</v>
      </c>
      <c r="AC109">
        <v>1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 t="s">
        <v>511</v>
      </c>
      <c r="AK109" t="s">
        <v>93</v>
      </c>
      <c r="AL109" t="s">
        <v>94</v>
      </c>
      <c r="AM109" t="str">
        <f t="shared" si="4"/>
        <v>2020-2021</v>
      </c>
      <c r="AN109">
        <f t="shared" si="5"/>
        <v>1</v>
      </c>
    </row>
    <row r="110" spans="1:40" x14ac:dyDescent="0.2">
      <c r="A110">
        <v>109</v>
      </c>
      <c r="B110" t="s">
        <v>512</v>
      </c>
      <c r="C110" t="s">
        <v>1717</v>
      </c>
      <c r="D110" t="s">
        <v>231</v>
      </c>
      <c r="E110" t="s">
        <v>98</v>
      </c>
      <c r="F110" t="s">
        <v>99</v>
      </c>
      <c r="G110">
        <v>1</v>
      </c>
      <c r="H110">
        <v>0.56650900000000004</v>
      </c>
      <c r="I110" t="s">
        <v>88</v>
      </c>
      <c r="J110">
        <v>2</v>
      </c>
      <c r="K110">
        <v>1.5791801000000001</v>
      </c>
      <c r="L110">
        <v>0</v>
      </c>
      <c r="M110" t="s">
        <v>137</v>
      </c>
      <c r="N110">
        <v>0</v>
      </c>
      <c r="O110">
        <v>3</v>
      </c>
      <c r="P110">
        <v>0</v>
      </c>
      <c r="Q110">
        <v>55</v>
      </c>
      <c r="R110" t="s">
        <v>508</v>
      </c>
      <c r="S110" s="3" t="s">
        <v>90</v>
      </c>
      <c r="T110" s="3">
        <f t="shared" si="3"/>
        <v>1</v>
      </c>
      <c r="U110" t="s">
        <v>96</v>
      </c>
      <c r="V110" t="s">
        <v>379</v>
      </c>
      <c r="W110" t="s">
        <v>95</v>
      </c>
      <c r="X110">
        <v>1</v>
      </c>
      <c r="Y110" t="s">
        <v>41</v>
      </c>
      <c r="Z110" t="s">
        <v>92</v>
      </c>
      <c r="AA110" t="s">
        <v>43</v>
      </c>
      <c r="AB110" t="s">
        <v>81</v>
      </c>
      <c r="AC110">
        <v>2</v>
      </c>
      <c r="AD110">
        <v>1</v>
      </c>
      <c r="AE110">
        <v>1</v>
      </c>
      <c r="AF110">
        <v>0</v>
      </c>
      <c r="AG110">
        <v>0</v>
      </c>
      <c r="AH110">
        <v>0</v>
      </c>
      <c r="AI110">
        <v>0</v>
      </c>
      <c r="AJ110" t="s">
        <v>513</v>
      </c>
      <c r="AK110" t="s">
        <v>82</v>
      </c>
      <c r="AL110" t="s">
        <v>83</v>
      </c>
      <c r="AM110" t="str">
        <f t="shared" si="4"/>
        <v>2014-2016</v>
      </c>
      <c r="AN110">
        <f t="shared" si="5"/>
        <v>2</v>
      </c>
    </row>
    <row r="111" spans="1:40" x14ac:dyDescent="0.2">
      <c r="A111">
        <v>110</v>
      </c>
      <c r="B111" t="s">
        <v>514</v>
      </c>
      <c r="C111" t="s">
        <v>1718</v>
      </c>
      <c r="D111" t="s">
        <v>79</v>
      </c>
      <c r="E111" t="s">
        <v>68</v>
      </c>
      <c r="F111" t="s">
        <v>111</v>
      </c>
      <c r="G111">
        <v>3</v>
      </c>
      <c r="H111">
        <v>1.92138834</v>
      </c>
      <c r="I111" t="s">
        <v>108</v>
      </c>
      <c r="J111">
        <v>3</v>
      </c>
      <c r="K111">
        <v>1.2467660899999999</v>
      </c>
      <c r="L111">
        <v>2</v>
      </c>
      <c r="M111" t="s">
        <v>97</v>
      </c>
      <c r="N111">
        <v>2</v>
      </c>
      <c r="O111">
        <v>4</v>
      </c>
      <c r="P111">
        <v>38</v>
      </c>
      <c r="Q111">
        <v>55</v>
      </c>
      <c r="R111" t="s">
        <v>508</v>
      </c>
      <c r="S111" s="3" t="s">
        <v>90</v>
      </c>
      <c r="T111" s="3">
        <f t="shared" si="3"/>
        <v>1</v>
      </c>
      <c r="U111" t="s">
        <v>96</v>
      </c>
      <c r="V111" t="s">
        <v>379</v>
      </c>
      <c r="W111" t="s">
        <v>95</v>
      </c>
      <c r="X111">
        <v>1</v>
      </c>
      <c r="Y111" t="s">
        <v>41</v>
      </c>
      <c r="Z111" t="s">
        <v>92</v>
      </c>
      <c r="AA111" t="s">
        <v>43</v>
      </c>
      <c r="AB111" t="s">
        <v>81</v>
      </c>
      <c r="AC111">
        <v>1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 t="s">
        <v>515</v>
      </c>
      <c r="AK111" t="s">
        <v>202</v>
      </c>
      <c r="AL111" t="s">
        <v>203</v>
      </c>
      <c r="AM111" t="str">
        <f t="shared" si="4"/>
        <v>2018-2020</v>
      </c>
      <c r="AN111">
        <f t="shared" si="5"/>
        <v>2</v>
      </c>
    </row>
    <row r="112" spans="1:40" x14ac:dyDescent="0.2">
      <c r="A112">
        <v>111</v>
      </c>
      <c r="B112" t="s">
        <v>516</v>
      </c>
      <c r="C112" t="s">
        <v>1717</v>
      </c>
      <c r="D112" t="s">
        <v>231</v>
      </c>
      <c r="E112" t="s">
        <v>68</v>
      </c>
      <c r="F112" t="s">
        <v>520</v>
      </c>
      <c r="G112">
        <v>1</v>
      </c>
      <c r="H112">
        <v>0.62411609999999995</v>
      </c>
      <c r="I112" t="s">
        <v>518</v>
      </c>
      <c r="J112">
        <v>1</v>
      </c>
      <c r="K112">
        <v>0.89302550000000003</v>
      </c>
      <c r="L112">
        <v>1</v>
      </c>
      <c r="M112" t="s">
        <v>137</v>
      </c>
      <c r="N112">
        <v>0</v>
      </c>
      <c r="O112">
        <v>2</v>
      </c>
      <c r="P112">
        <v>1</v>
      </c>
      <c r="Q112">
        <v>56</v>
      </c>
      <c r="R112" t="s">
        <v>519</v>
      </c>
      <c r="S112" s="3" t="s">
        <v>90</v>
      </c>
      <c r="T112" s="3">
        <f t="shared" si="3"/>
        <v>1</v>
      </c>
      <c r="U112" t="s">
        <v>96</v>
      </c>
      <c r="V112" t="s">
        <v>379</v>
      </c>
      <c r="W112" t="s">
        <v>95</v>
      </c>
      <c r="X112">
        <v>1</v>
      </c>
      <c r="Y112" t="s">
        <v>41</v>
      </c>
      <c r="Z112" t="s">
        <v>92</v>
      </c>
      <c r="AA112" t="s">
        <v>63</v>
      </c>
      <c r="AB112" t="s">
        <v>337</v>
      </c>
      <c r="AC112">
        <v>2</v>
      </c>
      <c r="AD112">
        <v>0</v>
      </c>
      <c r="AE112">
        <v>0</v>
      </c>
      <c r="AF112">
        <v>0</v>
      </c>
      <c r="AG112">
        <v>1</v>
      </c>
      <c r="AH112">
        <v>1</v>
      </c>
      <c r="AI112">
        <v>0</v>
      </c>
      <c r="AJ112" t="s">
        <v>517</v>
      </c>
      <c r="AK112" t="s">
        <v>213</v>
      </c>
      <c r="AL112" t="s">
        <v>214</v>
      </c>
      <c r="AM112" t="str">
        <f t="shared" si="4"/>
        <v>2020-2024</v>
      </c>
      <c r="AN112">
        <f t="shared" si="5"/>
        <v>4</v>
      </c>
    </row>
    <row r="113" spans="1:40" x14ac:dyDescent="0.2">
      <c r="A113">
        <v>112</v>
      </c>
      <c r="B113" t="s">
        <v>521</v>
      </c>
      <c r="C113" t="s">
        <v>1717</v>
      </c>
      <c r="D113" t="s">
        <v>72</v>
      </c>
      <c r="E113" t="s">
        <v>68</v>
      </c>
      <c r="F113" t="s">
        <v>298</v>
      </c>
      <c r="G113">
        <v>3</v>
      </c>
      <c r="H113">
        <v>1.1166007200000001</v>
      </c>
      <c r="I113" t="s">
        <v>295</v>
      </c>
      <c r="J113">
        <v>2</v>
      </c>
      <c r="K113">
        <v>0.95538450000000008</v>
      </c>
      <c r="L113">
        <v>0</v>
      </c>
      <c r="M113" t="s">
        <v>137</v>
      </c>
      <c r="N113">
        <v>0</v>
      </c>
      <c r="O113">
        <v>4</v>
      </c>
      <c r="P113">
        <v>0</v>
      </c>
      <c r="Q113">
        <v>56</v>
      </c>
      <c r="R113" t="s">
        <v>519</v>
      </c>
      <c r="S113" s="3" t="s">
        <v>90</v>
      </c>
      <c r="T113" s="3">
        <f t="shared" si="3"/>
        <v>1</v>
      </c>
      <c r="U113" t="s">
        <v>96</v>
      </c>
      <c r="V113" t="s">
        <v>379</v>
      </c>
      <c r="W113" t="s">
        <v>95</v>
      </c>
      <c r="X113">
        <v>1</v>
      </c>
      <c r="Y113" t="s">
        <v>41</v>
      </c>
      <c r="Z113" t="s">
        <v>92</v>
      </c>
      <c r="AA113" t="s">
        <v>63</v>
      </c>
      <c r="AB113" t="s">
        <v>337</v>
      </c>
      <c r="AC113">
        <v>2</v>
      </c>
      <c r="AD113">
        <v>0</v>
      </c>
      <c r="AE113">
        <v>1</v>
      </c>
      <c r="AF113">
        <v>1</v>
      </c>
      <c r="AG113">
        <v>0</v>
      </c>
      <c r="AH113">
        <v>0</v>
      </c>
      <c r="AI113">
        <v>0</v>
      </c>
      <c r="AJ113" t="s">
        <v>522</v>
      </c>
      <c r="AK113" t="s">
        <v>156</v>
      </c>
      <c r="AL113" t="s">
        <v>157</v>
      </c>
      <c r="AM113" t="str">
        <f t="shared" si="4"/>
        <v>2016-2020</v>
      </c>
      <c r="AN113">
        <f t="shared" si="5"/>
        <v>4</v>
      </c>
    </row>
    <row r="114" spans="1:40" x14ac:dyDescent="0.2">
      <c r="A114">
        <v>113</v>
      </c>
      <c r="B114" t="s">
        <v>523</v>
      </c>
      <c r="C114" t="s">
        <v>1717</v>
      </c>
      <c r="D114" t="s">
        <v>248</v>
      </c>
      <c r="E114" t="s">
        <v>98</v>
      </c>
      <c r="F114" t="s">
        <v>99</v>
      </c>
      <c r="G114">
        <v>10</v>
      </c>
      <c r="H114">
        <v>4.3785143099999999</v>
      </c>
      <c r="I114" t="s">
        <v>88</v>
      </c>
      <c r="J114">
        <v>10</v>
      </c>
      <c r="K114">
        <v>4.4948893999999999</v>
      </c>
      <c r="L114">
        <v>1</v>
      </c>
      <c r="M114" t="s">
        <v>137</v>
      </c>
      <c r="N114">
        <v>0</v>
      </c>
      <c r="O114">
        <v>17</v>
      </c>
      <c r="P114">
        <v>3</v>
      </c>
      <c r="Q114">
        <v>56</v>
      </c>
      <c r="R114" t="s">
        <v>519</v>
      </c>
      <c r="S114" s="3" t="s">
        <v>90</v>
      </c>
      <c r="T114" s="3">
        <f t="shared" si="3"/>
        <v>1</v>
      </c>
      <c r="U114" t="s">
        <v>96</v>
      </c>
      <c r="V114" t="s">
        <v>379</v>
      </c>
      <c r="W114" t="s">
        <v>95</v>
      </c>
      <c r="X114">
        <v>1</v>
      </c>
      <c r="Y114" t="s">
        <v>41</v>
      </c>
      <c r="Z114" t="s">
        <v>92</v>
      </c>
      <c r="AA114" t="s">
        <v>63</v>
      </c>
      <c r="AB114" t="s">
        <v>337</v>
      </c>
      <c r="AC114">
        <v>2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 t="s">
        <v>524</v>
      </c>
      <c r="AK114" t="s">
        <v>82</v>
      </c>
      <c r="AL114" t="s">
        <v>83</v>
      </c>
      <c r="AM114" t="str">
        <f t="shared" si="4"/>
        <v>2014-2016</v>
      </c>
      <c r="AN114">
        <f t="shared" si="5"/>
        <v>2</v>
      </c>
    </row>
    <row r="115" spans="1:40" x14ac:dyDescent="0.2">
      <c r="A115">
        <v>114</v>
      </c>
      <c r="B115" t="s">
        <v>525</v>
      </c>
      <c r="C115" t="s">
        <v>1717</v>
      </c>
      <c r="D115" t="s">
        <v>123</v>
      </c>
      <c r="E115" t="s">
        <v>68</v>
      </c>
      <c r="F115" t="s">
        <v>528</v>
      </c>
      <c r="G115">
        <v>27</v>
      </c>
      <c r="H115">
        <v>15.45109122</v>
      </c>
      <c r="I115" t="s">
        <v>527</v>
      </c>
      <c r="J115">
        <v>18</v>
      </c>
      <c r="K115">
        <v>6.6390215599999998</v>
      </c>
      <c r="L115">
        <v>9</v>
      </c>
      <c r="M115" t="s">
        <v>119</v>
      </c>
      <c r="N115">
        <v>9</v>
      </c>
      <c r="O115">
        <v>34</v>
      </c>
      <c r="P115">
        <v>289</v>
      </c>
      <c r="Q115">
        <v>56</v>
      </c>
      <c r="R115" t="s">
        <v>519</v>
      </c>
      <c r="S115" s="3" t="s">
        <v>90</v>
      </c>
      <c r="T115" s="3">
        <f t="shared" si="3"/>
        <v>1</v>
      </c>
      <c r="U115" t="s">
        <v>96</v>
      </c>
      <c r="V115" t="s">
        <v>379</v>
      </c>
      <c r="W115" t="s">
        <v>95</v>
      </c>
      <c r="X115">
        <v>1</v>
      </c>
      <c r="Y115" t="s">
        <v>41</v>
      </c>
      <c r="Z115" t="s">
        <v>92</v>
      </c>
      <c r="AA115" t="s">
        <v>63</v>
      </c>
      <c r="AB115" t="s">
        <v>337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 t="s">
        <v>526</v>
      </c>
      <c r="AK115" t="s">
        <v>65</v>
      </c>
      <c r="AL115" t="s">
        <v>66</v>
      </c>
      <c r="AM115" t="str">
        <f t="shared" si="4"/>
        <v>2024-2027</v>
      </c>
      <c r="AN115">
        <f t="shared" si="5"/>
        <v>3</v>
      </c>
    </row>
    <row r="116" spans="1:40" x14ac:dyDescent="0.2">
      <c r="A116">
        <v>115</v>
      </c>
      <c r="B116" t="s">
        <v>529</v>
      </c>
      <c r="C116" t="s">
        <v>1718</v>
      </c>
      <c r="D116" t="s">
        <v>231</v>
      </c>
      <c r="E116" t="s">
        <v>98</v>
      </c>
      <c r="F116" t="s">
        <v>99</v>
      </c>
      <c r="G116">
        <v>3</v>
      </c>
      <c r="H116">
        <v>1.33792833</v>
      </c>
      <c r="I116" t="s">
        <v>88</v>
      </c>
      <c r="J116">
        <v>5</v>
      </c>
      <c r="K116">
        <v>3.5529409599999999</v>
      </c>
      <c r="L116">
        <v>2</v>
      </c>
      <c r="M116" t="s">
        <v>97</v>
      </c>
      <c r="N116">
        <v>0</v>
      </c>
      <c r="O116">
        <v>7</v>
      </c>
      <c r="P116">
        <v>15</v>
      </c>
      <c r="Q116">
        <v>57</v>
      </c>
      <c r="R116" t="s">
        <v>531</v>
      </c>
      <c r="S116" s="3" t="s">
        <v>141</v>
      </c>
      <c r="T116" s="3">
        <f t="shared" si="3"/>
        <v>1</v>
      </c>
      <c r="U116" t="s">
        <v>149</v>
      </c>
      <c r="V116" t="s">
        <v>379</v>
      </c>
      <c r="W116" t="s">
        <v>95</v>
      </c>
      <c r="X116">
        <v>1</v>
      </c>
      <c r="Y116" t="s">
        <v>41</v>
      </c>
      <c r="Z116" t="s">
        <v>92</v>
      </c>
      <c r="AA116" t="s">
        <v>360</v>
      </c>
      <c r="AB116" t="s">
        <v>532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 t="s">
        <v>530</v>
      </c>
      <c r="AK116" t="s">
        <v>65</v>
      </c>
      <c r="AL116" t="s">
        <v>66</v>
      </c>
      <c r="AM116" t="str">
        <f t="shared" si="4"/>
        <v>2024-2027</v>
      </c>
      <c r="AN116">
        <f t="shared" si="5"/>
        <v>3</v>
      </c>
    </row>
    <row r="117" spans="1:40" x14ac:dyDescent="0.2">
      <c r="A117">
        <v>116</v>
      </c>
      <c r="B117" t="s">
        <v>533</v>
      </c>
      <c r="C117" t="s">
        <v>1717</v>
      </c>
      <c r="D117" t="s">
        <v>72</v>
      </c>
      <c r="E117" t="s">
        <v>68</v>
      </c>
      <c r="F117" t="s">
        <v>408</v>
      </c>
      <c r="G117">
        <v>22</v>
      </c>
      <c r="H117">
        <v>8.3843302900000012</v>
      </c>
      <c r="I117" t="s">
        <v>407</v>
      </c>
      <c r="J117">
        <v>12</v>
      </c>
      <c r="K117">
        <v>6.2210009999999993</v>
      </c>
      <c r="L117">
        <v>4</v>
      </c>
      <c r="M117" t="s">
        <v>97</v>
      </c>
      <c r="N117">
        <v>1</v>
      </c>
      <c r="O117">
        <v>27</v>
      </c>
      <c r="P117">
        <v>38</v>
      </c>
      <c r="Q117">
        <v>57</v>
      </c>
      <c r="R117" t="s">
        <v>531</v>
      </c>
      <c r="S117" s="3" t="s">
        <v>141</v>
      </c>
      <c r="T117" s="3">
        <f t="shared" si="3"/>
        <v>1</v>
      </c>
      <c r="U117" t="s">
        <v>149</v>
      </c>
      <c r="V117" t="s">
        <v>379</v>
      </c>
      <c r="W117" t="s">
        <v>95</v>
      </c>
      <c r="X117">
        <v>1</v>
      </c>
      <c r="Y117" t="s">
        <v>41</v>
      </c>
      <c r="Z117" t="s">
        <v>92</v>
      </c>
      <c r="AA117" t="s">
        <v>360</v>
      </c>
      <c r="AB117" t="s">
        <v>532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 t="s">
        <v>534</v>
      </c>
      <c r="AK117" t="s">
        <v>125</v>
      </c>
      <c r="AL117" t="s">
        <v>126</v>
      </c>
      <c r="AM117" t="str">
        <f t="shared" si="4"/>
        <v>2022-2024</v>
      </c>
      <c r="AN117">
        <f t="shared" si="5"/>
        <v>2</v>
      </c>
    </row>
    <row r="118" spans="1:40" x14ac:dyDescent="0.2">
      <c r="A118">
        <v>117</v>
      </c>
      <c r="B118" t="s">
        <v>535</v>
      </c>
      <c r="C118" t="s">
        <v>1717</v>
      </c>
      <c r="D118" t="s">
        <v>72</v>
      </c>
      <c r="E118" t="s">
        <v>98</v>
      </c>
      <c r="F118" t="s">
        <v>99</v>
      </c>
      <c r="G118">
        <v>19</v>
      </c>
      <c r="H118">
        <v>5.2758361000000003</v>
      </c>
      <c r="I118" t="s">
        <v>88</v>
      </c>
      <c r="J118">
        <v>11</v>
      </c>
      <c r="K118">
        <v>5.2974493099999993</v>
      </c>
      <c r="L118">
        <v>4</v>
      </c>
      <c r="M118" t="s">
        <v>97</v>
      </c>
      <c r="N118">
        <v>1</v>
      </c>
      <c r="O118">
        <v>33</v>
      </c>
      <c r="P118">
        <v>87</v>
      </c>
      <c r="Q118">
        <v>57</v>
      </c>
      <c r="R118" t="s">
        <v>531</v>
      </c>
      <c r="S118" s="3" t="s">
        <v>141</v>
      </c>
      <c r="T118" s="3">
        <f t="shared" si="3"/>
        <v>1</v>
      </c>
      <c r="U118" t="s">
        <v>149</v>
      </c>
      <c r="V118" t="s">
        <v>379</v>
      </c>
      <c r="W118" t="s">
        <v>95</v>
      </c>
      <c r="X118">
        <v>1</v>
      </c>
      <c r="Y118" t="s">
        <v>41</v>
      </c>
      <c r="Z118" t="s">
        <v>92</v>
      </c>
      <c r="AA118" t="s">
        <v>360</v>
      </c>
      <c r="AB118" t="s">
        <v>532</v>
      </c>
      <c r="AC118">
        <v>1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 t="s">
        <v>536</v>
      </c>
      <c r="AK118" t="s">
        <v>93</v>
      </c>
      <c r="AL118" t="s">
        <v>94</v>
      </c>
      <c r="AM118" t="str">
        <f t="shared" si="4"/>
        <v>2020-2021</v>
      </c>
      <c r="AN118">
        <f t="shared" si="5"/>
        <v>1</v>
      </c>
    </row>
    <row r="119" spans="1:40" x14ac:dyDescent="0.2">
      <c r="A119">
        <v>118</v>
      </c>
      <c r="B119" t="s">
        <v>537</v>
      </c>
      <c r="C119" t="s">
        <v>1717</v>
      </c>
      <c r="D119" t="s">
        <v>186</v>
      </c>
      <c r="E119" t="s">
        <v>98</v>
      </c>
      <c r="F119" t="s">
        <v>99</v>
      </c>
      <c r="G119">
        <v>5</v>
      </c>
      <c r="H119">
        <v>1.2090344239999999</v>
      </c>
      <c r="I119" t="s">
        <v>88</v>
      </c>
      <c r="J119">
        <v>6</v>
      </c>
      <c r="K119">
        <v>3.1691144699999989</v>
      </c>
      <c r="L119">
        <v>3</v>
      </c>
      <c r="M119" t="s">
        <v>97</v>
      </c>
      <c r="N119">
        <v>0</v>
      </c>
      <c r="O119">
        <v>9</v>
      </c>
      <c r="P119">
        <v>16</v>
      </c>
      <c r="Q119">
        <v>58</v>
      </c>
      <c r="R119" t="s">
        <v>539</v>
      </c>
      <c r="S119" s="3" t="s">
        <v>141</v>
      </c>
      <c r="T119" s="3">
        <f t="shared" si="3"/>
        <v>1</v>
      </c>
      <c r="U119" t="s">
        <v>149</v>
      </c>
      <c r="V119" t="s">
        <v>379</v>
      </c>
      <c r="W119" t="s">
        <v>95</v>
      </c>
      <c r="X119">
        <v>1</v>
      </c>
      <c r="Y119" t="s">
        <v>41</v>
      </c>
      <c r="Z119" t="s">
        <v>92</v>
      </c>
      <c r="AA119" t="s">
        <v>360</v>
      </c>
      <c r="AB119" t="s">
        <v>540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 t="s">
        <v>538</v>
      </c>
      <c r="AK119" t="s">
        <v>65</v>
      </c>
      <c r="AL119" t="s">
        <v>66</v>
      </c>
      <c r="AM119" t="str">
        <f t="shared" si="4"/>
        <v>2024-2027</v>
      </c>
      <c r="AN119">
        <f t="shared" si="5"/>
        <v>3</v>
      </c>
    </row>
    <row r="120" spans="1:40" x14ac:dyDescent="0.2">
      <c r="A120">
        <v>119</v>
      </c>
      <c r="B120" t="s">
        <v>541</v>
      </c>
      <c r="C120" t="s">
        <v>1717</v>
      </c>
      <c r="D120" t="s">
        <v>394</v>
      </c>
      <c r="E120" t="s">
        <v>98</v>
      </c>
      <c r="F120" t="s">
        <v>99</v>
      </c>
      <c r="G120">
        <v>2</v>
      </c>
      <c r="H120">
        <v>0.53253189000000001</v>
      </c>
      <c r="I120" t="s">
        <v>88</v>
      </c>
      <c r="J120">
        <v>2</v>
      </c>
      <c r="K120">
        <v>1.3353191</v>
      </c>
      <c r="L120">
        <v>0</v>
      </c>
      <c r="M120" t="s">
        <v>137</v>
      </c>
      <c r="N120">
        <v>0</v>
      </c>
      <c r="O120">
        <v>2</v>
      </c>
      <c r="P120">
        <v>0</v>
      </c>
      <c r="Q120">
        <v>58</v>
      </c>
      <c r="R120" t="s">
        <v>539</v>
      </c>
      <c r="S120" s="3" t="s">
        <v>141</v>
      </c>
      <c r="T120" s="3">
        <f t="shared" si="3"/>
        <v>1</v>
      </c>
      <c r="U120" t="s">
        <v>149</v>
      </c>
      <c r="V120" t="s">
        <v>379</v>
      </c>
      <c r="W120" t="s">
        <v>95</v>
      </c>
      <c r="X120">
        <v>1</v>
      </c>
      <c r="Y120" t="s">
        <v>41</v>
      </c>
      <c r="Z120" t="s">
        <v>92</v>
      </c>
      <c r="AA120" t="s">
        <v>360</v>
      </c>
      <c r="AB120" t="s">
        <v>540</v>
      </c>
      <c r="AC120">
        <v>1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 t="s">
        <v>542</v>
      </c>
      <c r="AK120" t="s">
        <v>93</v>
      </c>
      <c r="AL120" t="s">
        <v>94</v>
      </c>
      <c r="AM120" t="str">
        <f t="shared" si="4"/>
        <v>2020-2021</v>
      </c>
      <c r="AN120">
        <f t="shared" si="5"/>
        <v>1</v>
      </c>
    </row>
    <row r="121" spans="1:40" x14ac:dyDescent="0.2">
      <c r="A121">
        <v>120</v>
      </c>
      <c r="B121" t="s">
        <v>543</v>
      </c>
      <c r="C121" t="s">
        <v>1717</v>
      </c>
      <c r="D121" t="s">
        <v>123</v>
      </c>
      <c r="E121" t="s">
        <v>68</v>
      </c>
      <c r="F121" t="s">
        <v>509</v>
      </c>
      <c r="G121">
        <v>73</v>
      </c>
      <c r="H121">
        <v>37.018866969999998</v>
      </c>
      <c r="I121" t="s">
        <v>507</v>
      </c>
      <c r="J121">
        <v>41</v>
      </c>
      <c r="K121">
        <v>19.380859960000009</v>
      </c>
      <c r="L121">
        <v>13</v>
      </c>
      <c r="M121" t="s">
        <v>67</v>
      </c>
      <c r="N121">
        <v>17</v>
      </c>
      <c r="O121">
        <v>109</v>
      </c>
      <c r="P121">
        <v>908</v>
      </c>
      <c r="Q121">
        <v>59</v>
      </c>
      <c r="R121" t="s">
        <v>545</v>
      </c>
      <c r="S121" s="3" t="s">
        <v>141</v>
      </c>
      <c r="T121" s="3">
        <f t="shared" si="3"/>
        <v>1</v>
      </c>
      <c r="U121" t="s">
        <v>149</v>
      </c>
      <c r="V121" t="s">
        <v>379</v>
      </c>
      <c r="W121" t="s">
        <v>95</v>
      </c>
      <c r="X121">
        <v>1</v>
      </c>
      <c r="Y121" t="s">
        <v>41</v>
      </c>
      <c r="Z121" t="s">
        <v>92</v>
      </c>
      <c r="AA121" t="s">
        <v>63</v>
      </c>
      <c r="AB121" t="s">
        <v>206</v>
      </c>
      <c r="AC121">
        <v>2</v>
      </c>
      <c r="AD121">
        <v>1</v>
      </c>
      <c r="AE121">
        <v>1</v>
      </c>
      <c r="AF121">
        <v>0</v>
      </c>
      <c r="AG121">
        <v>0</v>
      </c>
      <c r="AH121">
        <v>0</v>
      </c>
      <c r="AI121">
        <v>0</v>
      </c>
      <c r="AJ121" t="s">
        <v>544</v>
      </c>
      <c r="AK121" t="s">
        <v>74</v>
      </c>
      <c r="AL121" t="s">
        <v>75</v>
      </c>
      <c r="AM121" t="str">
        <f t="shared" si="4"/>
        <v>2014-2018</v>
      </c>
      <c r="AN121">
        <f t="shared" si="5"/>
        <v>4</v>
      </c>
    </row>
    <row r="122" spans="1:40" x14ac:dyDescent="0.2">
      <c r="A122">
        <v>121</v>
      </c>
      <c r="B122" t="s">
        <v>546</v>
      </c>
      <c r="C122" t="s">
        <v>1718</v>
      </c>
      <c r="D122" t="s">
        <v>114</v>
      </c>
      <c r="E122" t="s">
        <v>98</v>
      </c>
      <c r="F122" t="s">
        <v>99</v>
      </c>
      <c r="G122">
        <v>22</v>
      </c>
      <c r="H122">
        <v>9.8421246300000007</v>
      </c>
      <c r="I122" t="s">
        <v>88</v>
      </c>
      <c r="J122">
        <v>20</v>
      </c>
      <c r="K122">
        <v>10.8542273</v>
      </c>
      <c r="L122">
        <v>9</v>
      </c>
      <c r="M122" t="s">
        <v>119</v>
      </c>
      <c r="N122">
        <v>9</v>
      </c>
      <c r="O122">
        <v>49</v>
      </c>
      <c r="P122">
        <v>310</v>
      </c>
      <c r="Q122">
        <v>59</v>
      </c>
      <c r="R122" t="s">
        <v>545</v>
      </c>
      <c r="S122" s="3" t="s">
        <v>141</v>
      </c>
      <c r="T122" s="3">
        <f t="shared" si="3"/>
        <v>1</v>
      </c>
      <c r="U122" t="s">
        <v>149</v>
      </c>
      <c r="V122" t="s">
        <v>379</v>
      </c>
      <c r="W122" t="s">
        <v>95</v>
      </c>
      <c r="X122">
        <v>1</v>
      </c>
      <c r="Y122" t="s">
        <v>41</v>
      </c>
      <c r="Z122" t="s">
        <v>92</v>
      </c>
      <c r="AA122" t="s">
        <v>63</v>
      </c>
      <c r="AB122" t="s">
        <v>206</v>
      </c>
      <c r="AC122">
        <v>2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1</v>
      </c>
      <c r="AJ122" t="s">
        <v>547</v>
      </c>
      <c r="AK122" t="s">
        <v>55</v>
      </c>
      <c r="AL122" t="s">
        <v>56</v>
      </c>
      <c r="AM122" t="str">
        <f t="shared" si="4"/>
        <v>2022-2027</v>
      </c>
      <c r="AN122">
        <f t="shared" si="5"/>
        <v>5</v>
      </c>
    </row>
    <row r="123" spans="1:40" x14ac:dyDescent="0.2">
      <c r="A123">
        <v>122</v>
      </c>
      <c r="B123" t="s">
        <v>548</v>
      </c>
      <c r="C123" t="s">
        <v>1717</v>
      </c>
      <c r="D123" t="s">
        <v>37</v>
      </c>
      <c r="E123" t="s">
        <v>68</v>
      </c>
      <c r="F123" t="s">
        <v>291</v>
      </c>
      <c r="G123">
        <v>55</v>
      </c>
      <c r="H123">
        <v>24.61782784</v>
      </c>
      <c r="I123" t="s">
        <v>288</v>
      </c>
      <c r="J123">
        <v>37</v>
      </c>
      <c r="K123">
        <v>19.28471957</v>
      </c>
      <c r="L123">
        <v>12</v>
      </c>
      <c r="M123" t="s">
        <v>67</v>
      </c>
      <c r="N123">
        <v>17</v>
      </c>
      <c r="O123">
        <v>76</v>
      </c>
      <c r="P123">
        <v>560</v>
      </c>
      <c r="Q123">
        <v>59</v>
      </c>
      <c r="R123" t="s">
        <v>545</v>
      </c>
      <c r="S123" s="3" t="s">
        <v>141</v>
      </c>
      <c r="T123" s="3">
        <f t="shared" si="3"/>
        <v>1</v>
      </c>
      <c r="U123" t="s">
        <v>149</v>
      </c>
      <c r="V123" t="s">
        <v>379</v>
      </c>
      <c r="W123" t="s">
        <v>95</v>
      </c>
      <c r="X123">
        <v>1</v>
      </c>
      <c r="Y123" t="s">
        <v>41</v>
      </c>
      <c r="Z123" t="s">
        <v>92</v>
      </c>
      <c r="AA123" t="s">
        <v>43</v>
      </c>
      <c r="AB123" t="s">
        <v>201</v>
      </c>
      <c r="AC123">
        <v>2</v>
      </c>
      <c r="AD123">
        <v>0</v>
      </c>
      <c r="AE123">
        <v>0</v>
      </c>
      <c r="AF123">
        <v>1</v>
      </c>
      <c r="AG123">
        <v>1</v>
      </c>
      <c r="AH123">
        <v>0</v>
      </c>
      <c r="AI123">
        <v>0</v>
      </c>
      <c r="AJ123" t="s">
        <v>549</v>
      </c>
      <c r="AK123" t="s">
        <v>193</v>
      </c>
      <c r="AL123" t="s">
        <v>194</v>
      </c>
      <c r="AM123" t="str">
        <f t="shared" si="4"/>
        <v>2018-2021</v>
      </c>
      <c r="AN123">
        <f t="shared" si="5"/>
        <v>3</v>
      </c>
    </row>
    <row r="124" spans="1:40" x14ac:dyDescent="0.2">
      <c r="A124">
        <v>123</v>
      </c>
      <c r="B124" t="s">
        <v>550</v>
      </c>
      <c r="C124" t="s">
        <v>1717</v>
      </c>
      <c r="D124" t="s">
        <v>60</v>
      </c>
      <c r="E124" t="s">
        <v>98</v>
      </c>
      <c r="F124" t="s">
        <v>99</v>
      </c>
      <c r="G124">
        <v>17</v>
      </c>
      <c r="H124">
        <v>8.0793578300000011</v>
      </c>
      <c r="I124" t="s">
        <v>88</v>
      </c>
      <c r="J124">
        <v>21</v>
      </c>
      <c r="K124">
        <v>9.837176229999999</v>
      </c>
      <c r="L124">
        <v>3</v>
      </c>
      <c r="M124" t="s">
        <v>97</v>
      </c>
      <c r="N124">
        <v>2</v>
      </c>
      <c r="O124">
        <v>60</v>
      </c>
      <c r="P124">
        <v>76</v>
      </c>
      <c r="Q124">
        <v>60</v>
      </c>
      <c r="R124" t="s">
        <v>552</v>
      </c>
      <c r="S124" s="3" t="s">
        <v>90</v>
      </c>
      <c r="T124" s="3">
        <f t="shared" si="3"/>
        <v>1</v>
      </c>
      <c r="U124" t="s">
        <v>96</v>
      </c>
      <c r="V124" t="s">
        <v>379</v>
      </c>
      <c r="W124" t="s">
        <v>95</v>
      </c>
      <c r="X124">
        <v>1</v>
      </c>
      <c r="Y124" t="s">
        <v>41</v>
      </c>
      <c r="Z124" t="s">
        <v>92</v>
      </c>
      <c r="AA124" t="s">
        <v>43</v>
      </c>
      <c r="AB124" t="s">
        <v>201</v>
      </c>
      <c r="AC124">
        <v>4</v>
      </c>
      <c r="AD124">
        <v>0</v>
      </c>
      <c r="AE124">
        <v>0</v>
      </c>
      <c r="AF124">
        <v>1</v>
      </c>
      <c r="AG124">
        <v>1</v>
      </c>
      <c r="AH124">
        <v>1</v>
      </c>
      <c r="AI124">
        <v>1</v>
      </c>
      <c r="AJ124" t="s">
        <v>551</v>
      </c>
      <c r="AK124" t="s">
        <v>146</v>
      </c>
      <c r="AL124" t="s">
        <v>147</v>
      </c>
      <c r="AM124" t="str">
        <f t="shared" si="4"/>
        <v>2018-2027</v>
      </c>
      <c r="AN124">
        <f t="shared" si="5"/>
        <v>9</v>
      </c>
    </row>
    <row r="125" spans="1:40" x14ac:dyDescent="0.2">
      <c r="A125">
        <v>124</v>
      </c>
      <c r="B125" t="s">
        <v>553</v>
      </c>
      <c r="C125" t="s">
        <v>1717</v>
      </c>
      <c r="D125" t="s">
        <v>79</v>
      </c>
      <c r="E125" t="s">
        <v>68</v>
      </c>
      <c r="F125" t="s">
        <v>111</v>
      </c>
      <c r="G125">
        <v>43</v>
      </c>
      <c r="H125">
        <v>23.05113798</v>
      </c>
      <c r="I125" t="s">
        <v>108</v>
      </c>
      <c r="J125">
        <v>26</v>
      </c>
      <c r="K125">
        <v>9.898533205999998</v>
      </c>
      <c r="L125">
        <v>9</v>
      </c>
      <c r="M125" t="s">
        <v>119</v>
      </c>
      <c r="N125">
        <v>9</v>
      </c>
      <c r="O125">
        <v>56</v>
      </c>
      <c r="P125">
        <v>401</v>
      </c>
      <c r="Q125">
        <v>60</v>
      </c>
      <c r="R125" t="s">
        <v>552</v>
      </c>
      <c r="S125" s="3" t="s">
        <v>90</v>
      </c>
      <c r="T125" s="3">
        <f t="shared" si="3"/>
        <v>1</v>
      </c>
      <c r="U125" t="s">
        <v>96</v>
      </c>
      <c r="V125" t="s">
        <v>379</v>
      </c>
      <c r="W125" t="s">
        <v>95</v>
      </c>
      <c r="X125">
        <v>1</v>
      </c>
      <c r="Y125" t="s">
        <v>41</v>
      </c>
      <c r="Z125" t="s">
        <v>92</v>
      </c>
      <c r="AA125" t="s">
        <v>43</v>
      </c>
      <c r="AB125" t="s">
        <v>201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 t="s">
        <v>554</v>
      </c>
      <c r="AK125" t="s">
        <v>320</v>
      </c>
      <c r="AL125" t="s">
        <v>321</v>
      </c>
      <c r="AM125" t="str">
        <f t="shared" si="4"/>
        <v>2016-2018</v>
      </c>
      <c r="AN125">
        <f t="shared" si="5"/>
        <v>2</v>
      </c>
    </row>
    <row r="126" spans="1:40" x14ac:dyDescent="0.2">
      <c r="A126">
        <v>125</v>
      </c>
      <c r="B126" t="s">
        <v>555</v>
      </c>
      <c r="C126" t="s">
        <v>1717</v>
      </c>
      <c r="D126" t="s">
        <v>72</v>
      </c>
      <c r="E126" t="s">
        <v>68</v>
      </c>
      <c r="F126" t="s">
        <v>386</v>
      </c>
      <c r="G126">
        <v>2</v>
      </c>
      <c r="H126">
        <v>0.46675371999999998</v>
      </c>
      <c r="I126" t="s">
        <v>385</v>
      </c>
      <c r="J126">
        <v>2</v>
      </c>
      <c r="K126">
        <v>0.77911471999999993</v>
      </c>
      <c r="L126">
        <v>1</v>
      </c>
      <c r="M126" t="s">
        <v>137</v>
      </c>
      <c r="N126">
        <v>0</v>
      </c>
      <c r="O126">
        <v>2</v>
      </c>
      <c r="P126">
        <v>2</v>
      </c>
      <c r="Q126">
        <v>60</v>
      </c>
      <c r="R126" t="s">
        <v>552</v>
      </c>
      <c r="S126" s="3" t="s">
        <v>90</v>
      </c>
      <c r="T126" s="3">
        <f t="shared" si="3"/>
        <v>1</v>
      </c>
      <c r="U126" t="s">
        <v>96</v>
      </c>
      <c r="V126" t="s">
        <v>379</v>
      </c>
      <c r="W126" t="s">
        <v>95</v>
      </c>
      <c r="X126">
        <v>1</v>
      </c>
      <c r="Y126" t="s">
        <v>41</v>
      </c>
      <c r="Z126" t="s">
        <v>92</v>
      </c>
      <c r="AA126" t="s">
        <v>43</v>
      </c>
      <c r="AB126" t="s">
        <v>201</v>
      </c>
      <c r="AC126">
        <v>2</v>
      </c>
      <c r="AD126">
        <v>1</v>
      </c>
      <c r="AE126">
        <v>1</v>
      </c>
      <c r="AF126">
        <v>0</v>
      </c>
      <c r="AG126">
        <v>0</v>
      </c>
      <c r="AH126">
        <v>0</v>
      </c>
      <c r="AI126">
        <v>0</v>
      </c>
      <c r="AJ126" t="s">
        <v>556</v>
      </c>
      <c r="AK126" t="s">
        <v>82</v>
      </c>
      <c r="AL126" t="s">
        <v>83</v>
      </c>
      <c r="AM126" t="str">
        <f t="shared" si="4"/>
        <v>2014-2016</v>
      </c>
      <c r="AN126">
        <f t="shared" si="5"/>
        <v>2</v>
      </c>
    </row>
    <row r="127" spans="1:40" x14ac:dyDescent="0.2">
      <c r="A127">
        <v>126</v>
      </c>
      <c r="B127" t="s">
        <v>557</v>
      </c>
      <c r="C127" t="s">
        <v>1717</v>
      </c>
      <c r="D127" t="s">
        <v>72</v>
      </c>
      <c r="E127" t="s">
        <v>68</v>
      </c>
      <c r="F127" t="s">
        <v>373</v>
      </c>
      <c r="G127">
        <v>7</v>
      </c>
      <c r="H127">
        <v>3.6181658099999998</v>
      </c>
      <c r="I127" t="s">
        <v>372</v>
      </c>
      <c r="J127">
        <v>6</v>
      </c>
      <c r="K127">
        <v>2.24923736</v>
      </c>
      <c r="L127">
        <v>4</v>
      </c>
      <c r="M127" t="s">
        <v>97</v>
      </c>
      <c r="N127">
        <v>2</v>
      </c>
      <c r="O127">
        <v>16</v>
      </c>
      <c r="P127">
        <v>56</v>
      </c>
      <c r="Q127">
        <v>61</v>
      </c>
      <c r="R127" t="s">
        <v>559</v>
      </c>
      <c r="S127" s="3" t="s">
        <v>141</v>
      </c>
      <c r="T127" s="3">
        <f t="shared" si="3"/>
        <v>1</v>
      </c>
      <c r="U127" t="s">
        <v>149</v>
      </c>
      <c r="V127" t="s">
        <v>379</v>
      </c>
      <c r="W127" t="s">
        <v>95</v>
      </c>
      <c r="X127">
        <v>1</v>
      </c>
      <c r="Y127" t="s">
        <v>41</v>
      </c>
      <c r="Z127" t="s">
        <v>92</v>
      </c>
      <c r="AA127" t="s">
        <v>63</v>
      </c>
      <c r="AB127" t="s">
        <v>136</v>
      </c>
      <c r="AC127">
        <v>2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1</v>
      </c>
      <c r="AJ127" t="s">
        <v>558</v>
      </c>
      <c r="AK127" t="s">
        <v>55</v>
      </c>
      <c r="AL127" t="s">
        <v>56</v>
      </c>
      <c r="AM127" t="str">
        <f t="shared" si="4"/>
        <v>2022-2027</v>
      </c>
      <c r="AN127">
        <f t="shared" si="5"/>
        <v>5</v>
      </c>
    </row>
    <row r="128" spans="1:40" x14ac:dyDescent="0.2">
      <c r="A128">
        <v>127</v>
      </c>
      <c r="B128" t="s">
        <v>560</v>
      </c>
      <c r="C128" t="s">
        <v>1718</v>
      </c>
      <c r="D128" t="s">
        <v>114</v>
      </c>
      <c r="E128" t="s">
        <v>98</v>
      </c>
      <c r="F128" t="s">
        <v>99</v>
      </c>
      <c r="G128">
        <v>22</v>
      </c>
      <c r="H128">
        <v>11.646597610000001</v>
      </c>
      <c r="I128" t="s">
        <v>88</v>
      </c>
      <c r="J128">
        <v>12</v>
      </c>
      <c r="K128">
        <v>6.5921951999999999</v>
      </c>
      <c r="L128">
        <v>13</v>
      </c>
      <c r="M128" t="s">
        <v>67</v>
      </c>
      <c r="N128">
        <v>13</v>
      </c>
      <c r="O128">
        <v>42</v>
      </c>
      <c r="P128">
        <v>730</v>
      </c>
      <c r="Q128">
        <v>61</v>
      </c>
      <c r="R128" t="s">
        <v>559</v>
      </c>
      <c r="S128" s="3" t="s">
        <v>141</v>
      </c>
      <c r="T128" s="3">
        <f t="shared" si="3"/>
        <v>1</v>
      </c>
      <c r="U128" t="s">
        <v>149</v>
      </c>
      <c r="V128" t="s">
        <v>379</v>
      </c>
      <c r="W128" t="s">
        <v>95</v>
      </c>
      <c r="X128">
        <v>1</v>
      </c>
      <c r="Y128" t="s">
        <v>41</v>
      </c>
      <c r="Z128" t="s">
        <v>92</v>
      </c>
      <c r="AA128" t="s">
        <v>63</v>
      </c>
      <c r="AB128" t="s">
        <v>136</v>
      </c>
      <c r="AC128">
        <v>4</v>
      </c>
      <c r="AD128">
        <v>1</v>
      </c>
      <c r="AE128">
        <v>1</v>
      </c>
      <c r="AF128">
        <v>1</v>
      </c>
      <c r="AG128">
        <v>1</v>
      </c>
      <c r="AH128">
        <v>0</v>
      </c>
      <c r="AI128">
        <v>0</v>
      </c>
      <c r="AJ128" t="s">
        <v>561</v>
      </c>
      <c r="AK128" t="s">
        <v>45</v>
      </c>
      <c r="AL128" t="s">
        <v>46</v>
      </c>
      <c r="AM128" t="str">
        <f t="shared" si="4"/>
        <v>2014-2021</v>
      </c>
      <c r="AN128">
        <f t="shared" si="5"/>
        <v>7</v>
      </c>
    </row>
    <row r="129" spans="1:40" x14ac:dyDescent="0.2">
      <c r="A129">
        <v>128</v>
      </c>
      <c r="B129" t="s">
        <v>562</v>
      </c>
      <c r="C129" t="s">
        <v>1717</v>
      </c>
      <c r="D129" t="s">
        <v>37</v>
      </c>
      <c r="E129" t="s">
        <v>68</v>
      </c>
      <c r="F129" t="s">
        <v>291</v>
      </c>
      <c r="G129">
        <v>10</v>
      </c>
      <c r="H129">
        <v>2.4527232400000001</v>
      </c>
      <c r="I129" t="s">
        <v>288</v>
      </c>
      <c r="J129">
        <v>6</v>
      </c>
      <c r="K129">
        <v>0.6127301650000001</v>
      </c>
      <c r="L129">
        <v>5</v>
      </c>
      <c r="M129" t="s">
        <v>119</v>
      </c>
      <c r="N129">
        <v>3</v>
      </c>
      <c r="O129">
        <v>21</v>
      </c>
      <c r="P129">
        <v>76</v>
      </c>
      <c r="Q129">
        <v>62</v>
      </c>
      <c r="R129" t="s">
        <v>564</v>
      </c>
      <c r="S129" s="3" t="s">
        <v>141</v>
      </c>
      <c r="T129" s="3">
        <f t="shared" si="3"/>
        <v>1</v>
      </c>
      <c r="U129" t="s">
        <v>149</v>
      </c>
      <c r="V129" t="s">
        <v>379</v>
      </c>
      <c r="W129" t="s">
        <v>95</v>
      </c>
      <c r="X129">
        <v>1</v>
      </c>
      <c r="Y129" t="s">
        <v>41</v>
      </c>
      <c r="Z129" t="s">
        <v>92</v>
      </c>
      <c r="AA129" t="s">
        <v>43</v>
      </c>
      <c r="AB129" t="s">
        <v>118</v>
      </c>
      <c r="AC129">
        <v>2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1</v>
      </c>
      <c r="AJ129" t="s">
        <v>563</v>
      </c>
      <c r="AK129" t="s">
        <v>55</v>
      </c>
      <c r="AL129" t="s">
        <v>56</v>
      </c>
      <c r="AM129" t="str">
        <f t="shared" si="4"/>
        <v>2022-2027</v>
      </c>
      <c r="AN129">
        <f t="shared" si="5"/>
        <v>5</v>
      </c>
    </row>
    <row r="130" spans="1:40" x14ac:dyDescent="0.2">
      <c r="A130">
        <v>129</v>
      </c>
      <c r="B130" t="s">
        <v>565</v>
      </c>
      <c r="C130" t="s">
        <v>1717</v>
      </c>
      <c r="D130" t="s">
        <v>72</v>
      </c>
      <c r="E130" t="s">
        <v>68</v>
      </c>
      <c r="F130" t="s">
        <v>408</v>
      </c>
      <c r="G130">
        <v>13</v>
      </c>
      <c r="H130">
        <v>4.56595905</v>
      </c>
      <c r="I130" t="s">
        <v>407</v>
      </c>
      <c r="J130">
        <v>12</v>
      </c>
      <c r="K130">
        <v>6.4318836299999997</v>
      </c>
      <c r="L130">
        <v>6</v>
      </c>
      <c r="M130" t="s">
        <v>119</v>
      </c>
      <c r="N130">
        <v>5</v>
      </c>
      <c r="O130">
        <v>19</v>
      </c>
      <c r="P130">
        <v>125</v>
      </c>
      <c r="Q130">
        <v>62</v>
      </c>
      <c r="R130" t="s">
        <v>564</v>
      </c>
      <c r="S130" s="3" t="s">
        <v>141</v>
      </c>
      <c r="T130" s="3">
        <f t="shared" si="3"/>
        <v>1</v>
      </c>
      <c r="U130" t="s">
        <v>149</v>
      </c>
      <c r="V130" t="s">
        <v>379</v>
      </c>
      <c r="W130" t="s">
        <v>95</v>
      </c>
      <c r="X130">
        <v>1</v>
      </c>
      <c r="Y130" t="s">
        <v>41</v>
      </c>
      <c r="Z130" t="s">
        <v>92</v>
      </c>
      <c r="AA130" t="s">
        <v>43</v>
      </c>
      <c r="AB130" t="s">
        <v>118</v>
      </c>
      <c r="AC130">
        <v>4</v>
      </c>
      <c r="AD130">
        <v>1</v>
      </c>
      <c r="AE130">
        <v>1</v>
      </c>
      <c r="AF130">
        <v>1</v>
      </c>
      <c r="AG130">
        <v>1</v>
      </c>
      <c r="AH130">
        <v>0</v>
      </c>
      <c r="AI130">
        <v>0</v>
      </c>
      <c r="AJ130" t="s">
        <v>566</v>
      </c>
      <c r="AK130" t="s">
        <v>45</v>
      </c>
      <c r="AL130" t="s">
        <v>46</v>
      </c>
      <c r="AM130" t="str">
        <f t="shared" si="4"/>
        <v>2014-2021</v>
      </c>
      <c r="AN130">
        <f t="shared" si="5"/>
        <v>7</v>
      </c>
    </row>
    <row r="131" spans="1:40" x14ac:dyDescent="0.2">
      <c r="A131">
        <v>130</v>
      </c>
      <c r="B131" t="s">
        <v>567</v>
      </c>
      <c r="C131" t="s">
        <v>1717</v>
      </c>
      <c r="D131" t="s">
        <v>441</v>
      </c>
      <c r="E131" t="s">
        <v>98</v>
      </c>
      <c r="F131" t="s">
        <v>99</v>
      </c>
      <c r="G131">
        <v>4</v>
      </c>
      <c r="H131">
        <v>1.4167906699999999</v>
      </c>
      <c r="I131" t="s">
        <v>88</v>
      </c>
      <c r="J131">
        <v>3</v>
      </c>
      <c r="K131">
        <v>1.8746004999999999</v>
      </c>
      <c r="L131">
        <v>1</v>
      </c>
      <c r="M131" t="s">
        <v>137</v>
      </c>
      <c r="N131">
        <v>0</v>
      </c>
      <c r="O131">
        <v>7</v>
      </c>
      <c r="P131">
        <v>3</v>
      </c>
      <c r="Q131">
        <v>63</v>
      </c>
      <c r="R131" t="s">
        <v>569</v>
      </c>
      <c r="S131" s="3" t="s">
        <v>141</v>
      </c>
      <c r="T131" s="3">
        <f t="shared" ref="T131:T194" si="6">IF(OR(S131="Sem IGC", ISBLANK(S131)), 0, 1)</f>
        <v>1</v>
      </c>
      <c r="U131" t="s">
        <v>149</v>
      </c>
      <c r="V131" t="s">
        <v>379</v>
      </c>
      <c r="W131" t="s">
        <v>95</v>
      </c>
      <c r="X131">
        <v>1</v>
      </c>
      <c r="Y131" t="s">
        <v>41</v>
      </c>
      <c r="Z131" t="s">
        <v>92</v>
      </c>
      <c r="AA131" t="s">
        <v>360</v>
      </c>
      <c r="AB131" t="s">
        <v>570</v>
      </c>
      <c r="AC131">
        <v>2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0</v>
      </c>
      <c r="AJ131" t="s">
        <v>568</v>
      </c>
      <c r="AK131" t="s">
        <v>82</v>
      </c>
      <c r="AL131" t="s">
        <v>83</v>
      </c>
      <c r="AM131" t="str">
        <f t="shared" ref="AM131:AM194" si="7">LEFT(AL131,4) &amp; "-" &amp; RIGHT(AL131,4)</f>
        <v>2014-2016</v>
      </c>
      <c r="AN131">
        <f t="shared" ref="AN131:AN194" si="8">VALUE(RIGHT(AL131,4)) - VALUE(LEFT(AL131,4))</f>
        <v>2</v>
      </c>
    </row>
    <row r="132" spans="1:40" x14ac:dyDescent="0.2">
      <c r="A132">
        <v>131</v>
      </c>
      <c r="B132" t="s">
        <v>571</v>
      </c>
      <c r="C132" t="s">
        <v>1717</v>
      </c>
      <c r="D132" t="s">
        <v>37</v>
      </c>
      <c r="E132" t="s">
        <v>98</v>
      </c>
      <c r="F132" t="s">
        <v>99</v>
      </c>
      <c r="G132">
        <v>1</v>
      </c>
      <c r="H132">
        <v>0.48177382000000002</v>
      </c>
      <c r="I132" t="s">
        <v>88</v>
      </c>
      <c r="J132">
        <v>1</v>
      </c>
      <c r="K132">
        <v>0.73458630000000003</v>
      </c>
      <c r="L132">
        <v>0</v>
      </c>
      <c r="M132" t="s">
        <v>137</v>
      </c>
      <c r="N132">
        <v>0</v>
      </c>
      <c r="O132">
        <v>1</v>
      </c>
      <c r="P132">
        <v>0</v>
      </c>
      <c r="Q132">
        <v>63</v>
      </c>
      <c r="R132" t="s">
        <v>569</v>
      </c>
      <c r="S132" s="3" t="s">
        <v>141</v>
      </c>
      <c r="T132" s="3">
        <f t="shared" si="6"/>
        <v>1</v>
      </c>
      <c r="U132" t="s">
        <v>149</v>
      </c>
      <c r="V132" t="s">
        <v>379</v>
      </c>
      <c r="W132" t="s">
        <v>95</v>
      </c>
      <c r="X132">
        <v>1</v>
      </c>
      <c r="Y132" t="s">
        <v>41</v>
      </c>
      <c r="Z132" t="s">
        <v>92</v>
      </c>
      <c r="AA132" t="s">
        <v>360</v>
      </c>
      <c r="AB132" t="s">
        <v>570</v>
      </c>
      <c r="AC132">
        <v>4</v>
      </c>
      <c r="AD132">
        <v>0</v>
      </c>
      <c r="AE132">
        <v>0</v>
      </c>
      <c r="AF132">
        <v>1</v>
      </c>
      <c r="AG132">
        <v>1</v>
      </c>
      <c r="AH132">
        <v>1</v>
      </c>
      <c r="AI132">
        <v>1</v>
      </c>
      <c r="AJ132" t="s">
        <v>572</v>
      </c>
      <c r="AK132" t="s">
        <v>146</v>
      </c>
      <c r="AL132" t="s">
        <v>147</v>
      </c>
      <c r="AM132" t="str">
        <f t="shared" si="7"/>
        <v>2018-2027</v>
      </c>
      <c r="AN132">
        <f t="shared" si="8"/>
        <v>9</v>
      </c>
    </row>
    <row r="133" spans="1:40" x14ac:dyDescent="0.2">
      <c r="A133">
        <v>132</v>
      </c>
      <c r="B133" t="s">
        <v>573</v>
      </c>
      <c r="C133" t="s">
        <v>1717</v>
      </c>
      <c r="D133" t="s">
        <v>37</v>
      </c>
      <c r="E133" t="s">
        <v>68</v>
      </c>
      <c r="F133" t="s">
        <v>577</v>
      </c>
      <c r="G133">
        <v>14</v>
      </c>
      <c r="H133">
        <v>6.9681905199999994</v>
      </c>
      <c r="I133" t="s">
        <v>575</v>
      </c>
      <c r="J133">
        <v>8</v>
      </c>
      <c r="K133">
        <v>0.52810296000000001</v>
      </c>
      <c r="L133">
        <v>4</v>
      </c>
      <c r="M133" t="s">
        <v>97</v>
      </c>
      <c r="N133">
        <v>2</v>
      </c>
      <c r="O133">
        <v>18</v>
      </c>
      <c r="P133">
        <v>188</v>
      </c>
      <c r="Q133">
        <v>64</v>
      </c>
      <c r="R133" t="s">
        <v>576</v>
      </c>
      <c r="S133" s="3" t="s">
        <v>90</v>
      </c>
      <c r="T133" s="3">
        <f t="shared" si="6"/>
        <v>1</v>
      </c>
      <c r="U133" t="s">
        <v>96</v>
      </c>
      <c r="V133" t="s">
        <v>379</v>
      </c>
      <c r="W133" t="s">
        <v>95</v>
      </c>
      <c r="X133">
        <v>1</v>
      </c>
      <c r="Y133" t="s">
        <v>41</v>
      </c>
      <c r="Z133" t="s">
        <v>92</v>
      </c>
      <c r="AA133" t="s">
        <v>224</v>
      </c>
      <c r="AB133" t="s">
        <v>225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 t="s">
        <v>574</v>
      </c>
      <c r="AK133" t="s">
        <v>65</v>
      </c>
      <c r="AL133" t="s">
        <v>66</v>
      </c>
      <c r="AM133" t="str">
        <f t="shared" si="7"/>
        <v>2024-2027</v>
      </c>
      <c r="AN133">
        <f t="shared" si="8"/>
        <v>3</v>
      </c>
    </row>
    <row r="134" spans="1:40" x14ac:dyDescent="0.2">
      <c r="A134">
        <v>133</v>
      </c>
      <c r="B134" t="s">
        <v>578</v>
      </c>
      <c r="C134" t="s">
        <v>1717</v>
      </c>
      <c r="D134" t="s">
        <v>123</v>
      </c>
      <c r="E134" t="s">
        <v>476</v>
      </c>
      <c r="F134" t="s">
        <v>583</v>
      </c>
      <c r="G134">
        <v>132</v>
      </c>
      <c r="H134">
        <v>60.360351530000017</v>
      </c>
      <c r="I134" t="s">
        <v>580</v>
      </c>
      <c r="J134">
        <v>86</v>
      </c>
      <c r="K134">
        <v>16.69470338899999</v>
      </c>
      <c r="L134">
        <v>29</v>
      </c>
      <c r="M134" t="s">
        <v>49</v>
      </c>
      <c r="N134">
        <v>61</v>
      </c>
      <c r="O134">
        <v>181</v>
      </c>
      <c r="P134">
        <v>2335</v>
      </c>
      <c r="Q134">
        <v>64</v>
      </c>
      <c r="R134" t="s">
        <v>576</v>
      </c>
      <c r="S134" s="3" t="s">
        <v>90</v>
      </c>
      <c r="T134" s="3">
        <f t="shared" si="6"/>
        <v>1</v>
      </c>
      <c r="U134" t="s">
        <v>96</v>
      </c>
      <c r="V134" t="s">
        <v>379</v>
      </c>
      <c r="W134" t="s">
        <v>95</v>
      </c>
      <c r="X134">
        <v>1</v>
      </c>
      <c r="Y134" t="s">
        <v>41</v>
      </c>
      <c r="Z134" t="s">
        <v>92</v>
      </c>
      <c r="AA134" t="s">
        <v>224</v>
      </c>
      <c r="AB134" t="s">
        <v>225</v>
      </c>
      <c r="AC134">
        <v>3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1</v>
      </c>
      <c r="AJ134" t="s">
        <v>579</v>
      </c>
      <c r="AK134" t="s">
        <v>581</v>
      </c>
      <c r="AL134" t="s">
        <v>582</v>
      </c>
      <c r="AM134" t="str">
        <f t="shared" si="7"/>
        <v>2014-2027</v>
      </c>
      <c r="AN134">
        <f t="shared" si="8"/>
        <v>13</v>
      </c>
    </row>
    <row r="135" spans="1:40" x14ac:dyDescent="0.2">
      <c r="A135">
        <v>134</v>
      </c>
      <c r="B135" t="s">
        <v>584</v>
      </c>
      <c r="C135" t="s">
        <v>1718</v>
      </c>
      <c r="D135" t="s">
        <v>186</v>
      </c>
      <c r="E135" t="s">
        <v>98</v>
      </c>
      <c r="F135" t="s">
        <v>99</v>
      </c>
      <c r="G135">
        <v>25</v>
      </c>
      <c r="H135">
        <v>8.5357641699999984</v>
      </c>
      <c r="I135" t="s">
        <v>88</v>
      </c>
      <c r="J135">
        <v>30</v>
      </c>
      <c r="K135">
        <v>15.863992959999999</v>
      </c>
      <c r="L135">
        <v>5</v>
      </c>
      <c r="M135" t="s">
        <v>119</v>
      </c>
      <c r="N135">
        <v>5</v>
      </c>
      <c r="O135">
        <v>62</v>
      </c>
      <c r="P135">
        <v>133</v>
      </c>
      <c r="Q135">
        <v>65</v>
      </c>
      <c r="R135" t="s">
        <v>586</v>
      </c>
      <c r="S135" s="3" t="s">
        <v>141</v>
      </c>
      <c r="T135" s="3">
        <f t="shared" si="6"/>
        <v>1</v>
      </c>
      <c r="U135" t="s">
        <v>149</v>
      </c>
      <c r="V135" t="s">
        <v>379</v>
      </c>
      <c r="W135" t="s">
        <v>95</v>
      </c>
      <c r="X135">
        <v>1</v>
      </c>
      <c r="Y135" t="s">
        <v>41</v>
      </c>
      <c r="Z135" t="s">
        <v>92</v>
      </c>
      <c r="AA135" t="s">
        <v>63</v>
      </c>
      <c r="AB135" t="s">
        <v>587</v>
      </c>
      <c r="AC135">
        <v>3</v>
      </c>
      <c r="AD135">
        <v>0</v>
      </c>
      <c r="AE135">
        <v>0</v>
      </c>
      <c r="AF135">
        <v>0</v>
      </c>
      <c r="AG135">
        <v>1</v>
      </c>
      <c r="AH135">
        <v>1</v>
      </c>
      <c r="AI135">
        <v>1</v>
      </c>
      <c r="AJ135" t="s">
        <v>585</v>
      </c>
      <c r="AK135" t="s">
        <v>269</v>
      </c>
      <c r="AL135" t="s">
        <v>270</v>
      </c>
      <c r="AM135" t="str">
        <f t="shared" si="7"/>
        <v>2020-2027</v>
      </c>
      <c r="AN135">
        <f t="shared" si="8"/>
        <v>7</v>
      </c>
    </row>
    <row r="136" spans="1:40" x14ac:dyDescent="0.2">
      <c r="A136">
        <v>135</v>
      </c>
      <c r="B136" t="s">
        <v>588</v>
      </c>
      <c r="C136" t="s">
        <v>1717</v>
      </c>
      <c r="D136" t="s">
        <v>186</v>
      </c>
      <c r="E136" t="s">
        <v>98</v>
      </c>
      <c r="F136" t="s">
        <v>99</v>
      </c>
      <c r="G136">
        <v>4</v>
      </c>
      <c r="H136">
        <v>1.60947617</v>
      </c>
      <c r="I136" t="s">
        <v>88</v>
      </c>
      <c r="J136">
        <v>5</v>
      </c>
      <c r="K136">
        <v>3.13506368</v>
      </c>
      <c r="L136">
        <v>0</v>
      </c>
      <c r="M136" t="s">
        <v>137</v>
      </c>
      <c r="N136">
        <v>0</v>
      </c>
      <c r="O136">
        <v>5</v>
      </c>
      <c r="P136">
        <v>0</v>
      </c>
      <c r="Q136">
        <v>65</v>
      </c>
      <c r="R136" t="s">
        <v>586</v>
      </c>
      <c r="S136" s="3" t="s">
        <v>141</v>
      </c>
      <c r="T136" s="3">
        <f t="shared" si="6"/>
        <v>1</v>
      </c>
      <c r="U136" t="s">
        <v>149</v>
      </c>
      <c r="V136" t="s">
        <v>379</v>
      </c>
      <c r="W136" t="s">
        <v>95</v>
      </c>
      <c r="X136">
        <v>1</v>
      </c>
      <c r="Y136" t="s">
        <v>41</v>
      </c>
      <c r="Z136" t="s">
        <v>92</v>
      </c>
      <c r="AA136" t="s">
        <v>63</v>
      </c>
      <c r="AB136" t="s">
        <v>587</v>
      </c>
      <c r="AC136">
        <v>1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 t="s">
        <v>589</v>
      </c>
      <c r="AK136" t="s">
        <v>202</v>
      </c>
      <c r="AL136" t="s">
        <v>203</v>
      </c>
      <c r="AM136" t="str">
        <f t="shared" si="7"/>
        <v>2018-2020</v>
      </c>
      <c r="AN136">
        <f t="shared" si="8"/>
        <v>2</v>
      </c>
    </row>
    <row r="137" spans="1:40" x14ac:dyDescent="0.2">
      <c r="A137">
        <v>136</v>
      </c>
      <c r="B137" t="s">
        <v>590</v>
      </c>
      <c r="C137" t="s">
        <v>1717</v>
      </c>
      <c r="D137" t="s">
        <v>186</v>
      </c>
      <c r="E137" t="s">
        <v>98</v>
      </c>
      <c r="F137" t="s">
        <v>99</v>
      </c>
      <c r="G137">
        <v>63</v>
      </c>
      <c r="H137">
        <v>25.024994480000011</v>
      </c>
      <c r="I137" t="s">
        <v>88</v>
      </c>
      <c r="J137">
        <v>68</v>
      </c>
      <c r="K137">
        <v>38.748300759999999</v>
      </c>
      <c r="L137">
        <v>6</v>
      </c>
      <c r="M137" t="s">
        <v>119</v>
      </c>
      <c r="N137">
        <v>3</v>
      </c>
      <c r="O137">
        <v>77</v>
      </c>
      <c r="P137">
        <v>120</v>
      </c>
      <c r="Q137">
        <v>66</v>
      </c>
      <c r="R137" t="s">
        <v>592</v>
      </c>
      <c r="S137" s="3" t="s">
        <v>90</v>
      </c>
      <c r="T137" s="3">
        <f t="shared" si="6"/>
        <v>1</v>
      </c>
      <c r="U137" t="s">
        <v>96</v>
      </c>
      <c r="V137" t="s">
        <v>379</v>
      </c>
      <c r="W137" t="s">
        <v>95</v>
      </c>
      <c r="X137">
        <v>1</v>
      </c>
      <c r="Y137" t="s">
        <v>41</v>
      </c>
      <c r="Z137" t="s">
        <v>92</v>
      </c>
      <c r="AA137" t="s">
        <v>43</v>
      </c>
      <c r="AB137" t="s">
        <v>44</v>
      </c>
      <c r="AC137">
        <v>2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1</v>
      </c>
      <c r="AJ137" t="s">
        <v>591</v>
      </c>
      <c r="AK137" t="s">
        <v>55</v>
      </c>
      <c r="AL137" t="s">
        <v>56</v>
      </c>
      <c r="AM137" t="str">
        <f t="shared" si="7"/>
        <v>2022-2027</v>
      </c>
      <c r="AN137">
        <f t="shared" si="8"/>
        <v>5</v>
      </c>
    </row>
    <row r="138" spans="1:40" x14ac:dyDescent="0.2">
      <c r="A138">
        <v>137</v>
      </c>
      <c r="B138" t="s">
        <v>593</v>
      </c>
      <c r="C138" t="s">
        <v>1718</v>
      </c>
      <c r="D138" t="s">
        <v>114</v>
      </c>
      <c r="E138" t="s">
        <v>68</v>
      </c>
      <c r="F138" t="s">
        <v>263</v>
      </c>
      <c r="G138">
        <v>17</v>
      </c>
      <c r="H138">
        <v>8.7236577200000003</v>
      </c>
      <c r="I138" t="s">
        <v>261</v>
      </c>
      <c r="J138">
        <v>11</v>
      </c>
      <c r="K138">
        <v>5.6764227500000013</v>
      </c>
      <c r="L138">
        <v>10</v>
      </c>
      <c r="M138" t="s">
        <v>119</v>
      </c>
      <c r="N138">
        <v>10</v>
      </c>
      <c r="O138">
        <v>24</v>
      </c>
      <c r="P138">
        <v>302</v>
      </c>
      <c r="Q138">
        <v>66</v>
      </c>
      <c r="R138" t="s">
        <v>592</v>
      </c>
      <c r="S138" s="3" t="s">
        <v>90</v>
      </c>
      <c r="T138" s="3">
        <f t="shared" si="6"/>
        <v>1</v>
      </c>
      <c r="U138" t="s">
        <v>96</v>
      </c>
      <c r="V138" t="s">
        <v>379</v>
      </c>
      <c r="W138" t="s">
        <v>95</v>
      </c>
      <c r="X138">
        <v>1</v>
      </c>
      <c r="Y138" t="s">
        <v>41</v>
      </c>
      <c r="Z138" t="s">
        <v>92</v>
      </c>
      <c r="AA138" t="s">
        <v>43</v>
      </c>
      <c r="AB138" t="s">
        <v>44</v>
      </c>
      <c r="AC138">
        <v>2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0</v>
      </c>
      <c r="AJ138" t="s">
        <v>594</v>
      </c>
      <c r="AK138" t="s">
        <v>156</v>
      </c>
      <c r="AL138" t="s">
        <v>157</v>
      </c>
      <c r="AM138" t="str">
        <f t="shared" si="7"/>
        <v>2016-2020</v>
      </c>
      <c r="AN138">
        <f t="shared" si="8"/>
        <v>4</v>
      </c>
    </row>
    <row r="139" spans="1:40" x14ac:dyDescent="0.2">
      <c r="A139">
        <v>138</v>
      </c>
      <c r="B139" t="s">
        <v>595</v>
      </c>
      <c r="C139" t="s">
        <v>1718</v>
      </c>
      <c r="D139" t="s">
        <v>186</v>
      </c>
      <c r="E139" t="s">
        <v>98</v>
      </c>
      <c r="F139" t="s">
        <v>99</v>
      </c>
      <c r="G139">
        <v>4</v>
      </c>
      <c r="H139">
        <v>1.2075144099999999</v>
      </c>
      <c r="I139" t="s">
        <v>88</v>
      </c>
      <c r="J139">
        <v>3</v>
      </c>
      <c r="K139">
        <v>2.0914216699999999</v>
      </c>
      <c r="L139">
        <v>2</v>
      </c>
      <c r="M139" t="s">
        <v>97</v>
      </c>
      <c r="N139">
        <v>0</v>
      </c>
      <c r="O139">
        <v>4</v>
      </c>
      <c r="P139">
        <v>11</v>
      </c>
      <c r="Q139">
        <v>66</v>
      </c>
      <c r="R139" t="s">
        <v>592</v>
      </c>
      <c r="S139" s="3" t="s">
        <v>90</v>
      </c>
      <c r="T139" s="3">
        <f t="shared" si="6"/>
        <v>1</v>
      </c>
      <c r="U139" t="s">
        <v>96</v>
      </c>
      <c r="V139" t="s">
        <v>379</v>
      </c>
      <c r="W139" t="s">
        <v>95</v>
      </c>
      <c r="X139">
        <v>1</v>
      </c>
      <c r="Y139" t="s">
        <v>41</v>
      </c>
      <c r="Z139" t="s">
        <v>92</v>
      </c>
      <c r="AA139" t="s">
        <v>43</v>
      </c>
      <c r="AB139" t="s">
        <v>44</v>
      </c>
      <c r="AC139">
        <v>2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0</v>
      </c>
      <c r="AJ139" t="s">
        <v>596</v>
      </c>
      <c r="AK139" t="s">
        <v>82</v>
      </c>
      <c r="AL139" t="s">
        <v>83</v>
      </c>
      <c r="AM139" t="str">
        <f t="shared" si="7"/>
        <v>2014-2016</v>
      </c>
      <c r="AN139">
        <f t="shared" si="8"/>
        <v>2</v>
      </c>
    </row>
    <row r="140" spans="1:40" x14ac:dyDescent="0.2">
      <c r="A140">
        <v>139</v>
      </c>
      <c r="B140" t="s">
        <v>597</v>
      </c>
      <c r="C140" t="s">
        <v>1718</v>
      </c>
      <c r="D140" t="s">
        <v>285</v>
      </c>
      <c r="E140" t="s">
        <v>98</v>
      </c>
      <c r="F140" t="s">
        <v>99</v>
      </c>
      <c r="G140">
        <v>3</v>
      </c>
      <c r="H140">
        <v>1.4569516300000001</v>
      </c>
      <c r="I140" t="s">
        <v>88</v>
      </c>
      <c r="J140">
        <v>2</v>
      </c>
      <c r="K140">
        <v>1.1516945700000001</v>
      </c>
      <c r="L140">
        <v>3</v>
      </c>
      <c r="M140" t="s">
        <v>97</v>
      </c>
      <c r="N140">
        <v>0</v>
      </c>
      <c r="O140">
        <v>5</v>
      </c>
      <c r="P140">
        <v>23</v>
      </c>
      <c r="Q140">
        <v>66</v>
      </c>
      <c r="R140" t="s">
        <v>592</v>
      </c>
      <c r="S140" s="3" t="s">
        <v>90</v>
      </c>
      <c r="T140" s="3">
        <f t="shared" si="6"/>
        <v>1</v>
      </c>
      <c r="U140" t="s">
        <v>96</v>
      </c>
      <c r="V140" t="s">
        <v>379</v>
      </c>
      <c r="W140" t="s">
        <v>95</v>
      </c>
      <c r="X140">
        <v>1</v>
      </c>
      <c r="Y140" t="s">
        <v>41</v>
      </c>
      <c r="Z140" t="s">
        <v>92</v>
      </c>
      <c r="AA140" t="s">
        <v>43</v>
      </c>
      <c r="AB140" t="s">
        <v>44</v>
      </c>
      <c r="AC140">
        <v>1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 t="s">
        <v>598</v>
      </c>
      <c r="AK140" t="s">
        <v>93</v>
      </c>
      <c r="AL140" t="s">
        <v>94</v>
      </c>
      <c r="AM140" t="str">
        <f t="shared" si="7"/>
        <v>2020-2021</v>
      </c>
      <c r="AN140">
        <f t="shared" si="8"/>
        <v>1</v>
      </c>
    </row>
    <row r="141" spans="1:40" x14ac:dyDescent="0.2">
      <c r="A141">
        <v>140</v>
      </c>
      <c r="B141" t="s">
        <v>599</v>
      </c>
      <c r="C141" t="s">
        <v>1717</v>
      </c>
      <c r="D141" t="s">
        <v>186</v>
      </c>
      <c r="E141" t="s">
        <v>98</v>
      </c>
      <c r="F141" t="s">
        <v>99</v>
      </c>
      <c r="G141">
        <v>32</v>
      </c>
      <c r="H141">
        <v>14.838754529999999</v>
      </c>
      <c r="I141" t="s">
        <v>88</v>
      </c>
      <c r="J141">
        <v>38</v>
      </c>
      <c r="K141">
        <v>22.545540179999989</v>
      </c>
      <c r="L141">
        <v>3</v>
      </c>
      <c r="M141" t="s">
        <v>97</v>
      </c>
      <c r="N141">
        <v>0</v>
      </c>
      <c r="O141">
        <v>50</v>
      </c>
      <c r="P141">
        <v>29</v>
      </c>
      <c r="Q141">
        <v>67</v>
      </c>
      <c r="R141" t="s">
        <v>601</v>
      </c>
      <c r="S141" s="3" t="s">
        <v>90</v>
      </c>
      <c r="T141" s="3">
        <f t="shared" si="6"/>
        <v>1</v>
      </c>
      <c r="U141" t="s">
        <v>96</v>
      </c>
      <c r="V141" t="s">
        <v>379</v>
      </c>
      <c r="W141" t="s">
        <v>95</v>
      </c>
      <c r="X141">
        <v>1</v>
      </c>
      <c r="Y141" t="s">
        <v>41</v>
      </c>
      <c r="Z141" t="s">
        <v>92</v>
      </c>
      <c r="AA141" t="s">
        <v>63</v>
      </c>
      <c r="AB141" t="s">
        <v>602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 t="s">
        <v>600</v>
      </c>
      <c r="AK141" t="s">
        <v>125</v>
      </c>
      <c r="AL141" t="s">
        <v>126</v>
      </c>
      <c r="AM141" t="str">
        <f t="shared" si="7"/>
        <v>2022-2024</v>
      </c>
      <c r="AN141">
        <f t="shared" si="8"/>
        <v>2</v>
      </c>
    </row>
    <row r="142" spans="1:40" x14ac:dyDescent="0.2">
      <c r="A142">
        <v>141</v>
      </c>
      <c r="B142" t="s">
        <v>603</v>
      </c>
      <c r="C142" t="s">
        <v>1717</v>
      </c>
      <c r="D142" t="s">
        <v>72</v>
      </c>
      <c r="E142" t="s">
        <v>68</v>
      </c>
      <c r="F142" t="s">
        <v>386</v>
      </c>
      <c r="G142">
        <v>108</v>
      </c>
      <c r="H142">
        <v>43.65896776400001</v>
      </c>
      <c r="I142" t="s">
        <v>385</v>
      </c>
      <c r="J142">
        <v>90</v>
      </c>
      <c r="K142">
        <v>45.942077999999988</v>
      </c>
      <c r="L142">
        <v>13</v>
      </c>
      <c r="M142" t="s">
        <v>67</v>
      </c>
      <c r="N142">
        <v>25</v>
      </c>
      <c r="O142">
        <v>128</v>
      </c>
      <c r="P142">
        <v>739</v>
      </c>
      <c r="Q142">
        <v>67</v>
      </c>
      <c r="R142" t="s">
        <v>601</v>
      </c>
      <c r="S142" s="3" t="s">
        <v>90</v>
      </c>
      <c r="T142" s="3">
        <f t="shared" si="6"/>
        <v>1</v>
      </c>
      <c r="U142" t="s">
        <v>96</v>
      </c>
      <c r="V142" t="s">
        <v>379</v>
      </c>
      <c r="W142" t="s">
        <v>95</v>
      </c>
      <c r="X142">
        <v>1</v>
      </c>
      <c r="Y142" t="s">
        <v>41</v>
      </c>
      <c r="Z142" t="s">
        <v>92</v>
      </c>
      <c r="AA142" t="s">
        <v>63</v>
      </c>
      <c r="AB142" t="s">
        <v>602</v>
      </c>
      <c r="AC142">
        <v>1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 t="s">
        <v>604</v>
      </c>
      <c r="AK142" t="s">
        <v>202</v>
      </c>
      <c r="AL142" t="s">
        <v>203</v>
      </c>
      <c r="AM142" t="str">
        <f t="shared" si="7"/>
        <v>2018-2020</v>
      </c>
      <c r="AN142">
        <f t="shared" si="8"/>
        <v>2</v>
      </c>
    </row>
    <row r="143" spans="1:40" x14ac:dyDescent="0.2">
      <c r="A143">
        <v>142</v>
      </c>
      <c r="B143" t="s">
        <v>605</v>
      </c>
      <c r="C143" t="s">
        <v>1717</v>
      </c>
      <c r="D143" t="s">
        <v>441</v>
      </c>
      <c r="E143" t="s">
        <v>98</v>
      </c>
      <c r="F143" t="s">
        <v>99</v>
      </c>
      <c r="G143">
        <v>35</v>
      </c>
      <c r="H143">
        <v>16.78691182</v>
      </c>
      <c r="I143" t="s">
        <v>88</v>
      </c>
      <c r="J143">
        <v>44</v>
      </c>
      <c r="K143">
        <v>23.616767930000009</v>
      </c>
      <c r="L143">
        <v>8</v>
      </c>
      <c r="M143" t="s">
        <v>119</v>
      </c>
      <c r="N143">
        <v>8</v>
      </c>
      <c r="O143">
        <v>85</v>
      </c>
      <c r="P143">
        <v>281</v>
      </c>
      <c r="Q143">
        <v>67</v>
      </c>
      <c r="R143" t="s">
        <v>601</v>
      </c>
      <c r="S143" s="3" t="s">
        <v>90</v>
      </c>
      <c r="T143" s="3">
        <f t="shared" si="6"/>
        <v>1</v>
      </c>
      <c r="U143" t="s">
        <v>96</v>
      </c>
      <c r="V143" t="s">
        <v>379</v>
      </c>
      <c r="W143" t="s">
        <v>95</v>
      </c>
      <c r="X143">
        <v>1</v>
      </c>
      <c r="Y143" t="s">
        <v>41</v>
      </c>
      <c r="Z143" t="s">
        <v>92</v>
      </c>
      <c r="AA143" t="s">
        <v>63</v>
      </c>
      <c r="AB143" t="s">
        <v>602</v>
      </c>
      <c r="AC143">
        <v>2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 t="s">
        <v>606</v>
      </c>
      <c r="AK143" t="s">
        <v>74</v>
      </c>
      <c r="AL143" t="s">
        <v>75</v>
      </c>
      <c r="AM143" t="str">
        <f t="shared" si="7"/>
        <v>2014-2018</v>
      </c>
      <c r="AN143">
        <f t="shared" si="8"/>
        <v>4</v>
      </c>
    </row>
    <row r="144" spans="1:40" x14ac:dyDescent="0.2">
      <c r="A144">
        <v>143</v>
      </c>
      <c r="B144" t="s">
        <v>607</v>
      </c>
      <c r="C144" t="s">
        <v>1717</v>
      </c>
      <c r="D144" t="s">
        <v>186</v>
      </c>
      <c r="E144" t="s">
        <v>98</v>
      </c>
      <c r="F144" t="s">
        <v>99</v>
      </c>
      <c r="G144">
        <v>14</v>
      </c>
      <c r="H144">
        <v>3.9994630799999999</v>
      </c>
      <c r="I144" t="s">
        <v>88</v>
      </c>
      <c r="J144">
        <v>13</v>
      </c>
      <c r="K144">
        <v>6.91620685</v>
      </c>
      <c r="L144">
        <v>2</v>
      </c>
      <c r="M144" t="s">
        <v>97</v>
      </c>
      <c r="N144">
        <v>0</v>
      </c>
      <c r="O144">
        <v>20</v>
      </c>
      <c r="P144">
        <v>9</v>
      </c>
      <c r="Q144">
        <v>67</v>
      </c>
      <c r="R144" t="s">
        <v>601</v>
      </c>
      <c r="S144" s="3" t="s">
        <v>90</v>
      </c>
      <c r="T144" s="3">
        <f t="shared" si="6"/>
        <v>1</v>
      </c>
      <c r="U144" t="s">
        <v>96</v>
      </c>
      <c r="V144" t="s">
        <v>379</v>
      </c>
      <c r="W144" t="s">
        <v>95</v>
      </c>
      <c r="X144">
        <v>1</v>
      </c>
      <c r="Y144" t="s">
        <v>41</v>
      </c>
      <c r="Z144" t="s">
        <v>92</v>
      </c>
      <c r="AA144" t="s">
        <v>63</v>
      </c>
      <c r="AB144" t="s">
        <v>602</v>
      </c>
      <c r="AC144">
        <v>1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 t="s">
        <v>608</v>
      </c>
      <c r="AK144" t="s">
        <v>202</v>
      </c>
      <c r="AL144" t="s">
        <v>203</v>
      </c>
      <c r="AM144" t="str">
        <f t="shared" si="7"/>
        <v>2018-2020</v>
      </c>
      <c r="AN144">
        <f t="shared" si="8"/>
        <v>2</v>
      </c>
    </row>
    <row r="145" spans="1:40" x14ac:dyDescent="0.2">
      <c r="A145">
        <v>144</v>
      </c>
      <c r="B145" t="s">
        <v>609</v>
      </c>
      <c r="C145" t="s">
        <v>1717</v>
      </c>
      <c r="D145" t="s">
        <v>114</v>
      </c>
      <c r="E145" t="s">
        <v>68</v>
      </c>
      <c r="F145" t="s">
        <v>613</v>
      </c>
      <c r="G145">
        <v>22</v>
      </c>
      <c r="H145">
        <v>12.70582918</v>
      </c>
      <c r="I145" t="s">
        <v>611</v>
      </c>
      <c r="J145">
        <v>20</v>
      </c>
      <c r="K145">
        <v>6.8872978489999994</v>
      </c>
      <c r="L145">
        <v>14</v>
      </c>
      <c r="M145" t="s">
        <v>67</v>
      </c>
      <c r="N145">
        <v>15</v>
      </c>
      <c r="O145">
        <v>38</v>
      </c>
      <c r="P145">
        <v>588</v>
      </c>
      <c r="Q145">
        <v>68</v>
      </c>
      <c r="R145" t="s">
        <v>612</v>
      </c>
      <c r="S145" s="3" t="s">
        <v>90</v>
      </c>
      <c r="T145" s="3">
        <f t="shared" si="6"/>
        <v>1</v>
      </c>
      <c r="U145" t="s">
        <v>96</v>
      </c>
      <c r="V145" t="s">
        <v>379</v>
      </c>
      <c r="W145" t="s">
        <v>95</v>
      </c>
      <c r="X145">
        <v>1</v>
      </c>
      <c r="Y145" t="s">
        <v>41</v>
      </c>
      <c r="Z145" t="s">
        <v>92</v>
      </c>
      <c r="AA145" t="s">
        <v>224</v>
      </c>
      <c r="AB145" t="s">
        <v>234</v>
      </c>
      <c r="AC145">
        <v>2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0</v>
      </c>
      <c r="AJ145" t="s">
        <v>610</v>
      </c>
      <c r="AK145" t="s">
        <v>82</v>
      </c>
      <c r="AL145" t="s">
        <v>83</v>
      </c>
      <c r="AM145" t="str">
        <f t="shared" si="7"/>
        <v>2014-2016</v>
      </c>
      <c r="AN145">
        <f t="shared" si="8"/>
        <v>2</v>
      </c>
    </row>
    <row r="146" spans="1:40" x14ac:dyDescent="0.2">
      <c r="A146">
        <v>145</v>
      </c>
      <c r="B146" t="s">
        <v>614</v>
      </c>
      <c r="C146" t="s">
        <v>1717</v>
      </c>
      <c r="D146" t="s">
        <v>72</v>
      </c>
      <c r="E146" t="s">
        <v>68</v>
      </c>
      <c r="F146" t="s">
        <v>298</v>
      </c>
      <c r="G146">
        <v>77</v>
      </c>
      <c r="H146">
        <v>18.053324847999999</v>
      </c>
      <c r="I146" t="s">
        <v>295</v>
      </c>
      <c r="J146">
        <v>56</v>
      </c>
      <c r="K146">
        <v>28.012254949999999</v>
      </c>
      <c r="L146">
        <v>26</v>
      </c>
      <c r="M146" t="s">
        <v>49</v>
      </c>
      <c r="N146">
        <v>47</v>
      </c>
      <c r="O146">
        <v>104</v>
      </c>
      <c r="P146">
        <v>1878</v>
      </c>
      <c r="Q146">
        <v>68</v>
      </c>
      <c r="R146" t="s">
        <v>612</v>
      </c>
      <c r="S146" s="3" t="s">
        <v>90</v>
      </c>
      <c r="T146" s="3">
        <f t="shared" si="6"/>
        <v>1</v>
      </c>
      <c r="U146" t="s">
        <v>96</v>
      </c>
      <c r="V146" t="s">
        <v>379</v>
      </c>
      <c r="W146" t="s">
        <v>95</v>
      </c>
      <c r="X146">
        <v>1</v>
      </c>
      <c r="Y146" t="s">
        <v>41</v>
      </c>
      <c r="Z146" t="s">
        <v>92</v>
      </c>
      <c r="AA146" t="s">
        <v>224</v>
      </c>
      <c r="AB146" t="s">
        <v>234</v>
      </c>
      <c r="AC146">
        <v>4</v>
      </c>
      <c r="AD146">
        <v>0</v>
      </c>
      <c r="AE146">
        <v>1</v>
      </c>
      <c r="AF146">
        <v>1</v>
      </c>
      <c r="AG146">
        <v>1</v>
      </c>
      <c r="AH146">
        <v>1</v>
      </c>
      <c r="AI146">
        <v>0</v>
      </c>
      <c r="AJ146" t="s">
        <v>615</v>
      </c>
      <c r="AK146" t="s">
        <v>399</v>
      </c>
      <c r="AL146" t="s">
        <v>400</v>
      </c>
      <c r="AM146" t="str">
        <f t="shared" si="7"/>
        <v>2016-2024</v>
      </c>
      <c r="AN146">
        <f t="shared" si="8"/>
        <v>8</v>
      </c>
    </row>
    <row r="147" spans="1:40" x14ac:dyDescent="0.2">
      <c r="A147">
        <v>146</v>
      </c>
      <c r="B147" t="s">
        <v>616</v>
      </c>
      <c r="C147" t="s">
        <v>1718</v>
      </c>
      <c r="D147" t="s">
        <v>394</v>
      </c>
      <c r="E147" t="s">
        <v>98</v>
      </c>
      <c r="F147" t="s">
        <v>99</v>
      </c>
      <c r="G147">
        <v>11</v>
      </c>
      <c r="H147">
        <v>2.5358586339999998</v>
      </c>
      <c r="I147" t="s">
        <v>88</v>
      </c>
      <c r="J147">
        <v>19</v>
      </c>
      <c r="K147">
        <v>10.77818712</v>
      </c>
      <c r="L147">
        <v>4</v>
      </c>
      <c r="M147" t="s">
        <v>97</v>
      </c>
      <c r="N147">
        <v>3</v>
      </c>
      <c r="O147">
        <v>27</v>
      </c>
      <c r="P147">
        <v>103</v>
      </c>
      <c r="Q147">
        <v>68</v>
      </c>
      <c r="R147" t="s">
        <v>612</v>
      </c>
      <c r="S147" s="3" t="s">
        <v>90</v>
      </c>
      <c r="T147" s="3">
        <f t="shared" si="6"/>
        <v>1</v>
      </c>
      <c r="U147" t="s">
        <v>96</v>
      </c>
      <c r="V147" t="s">
        <v>379</v>
      </c>
      <c r="W147" t="s">
        <v>95</v>
      </c>
      <c r="X147">
        <v>1</v>
      </c>
      <c r="Y147" t="s">
        <v>41</v>
      </c>
      <c r="Z147" t="s">
        <v>92</v>
      </c>
      <c r="AA147" t="s">
        <v>224</v>
      </c>
      <c r="AB147" t="s">
        <v>234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 t="s">
        <v>617</v>
      </c>
      <c r="AK147" t="s">
        <v>65</v>
      </c>
      <c r="AL147" t="s">
        <v>66</v>
      </c>
      <c r="AM147" t="str">
        <f t="shared" si="7"/>
        <v>2024-2027</v>
      </c>
      <c r="AN147">
        <f t="shared" si="8"/>
        <v>3</v>
      </c>
    </row>
    <row r="148" spans="1:40" x14ac:dyDescent="0.2">
      <c r="A148">
        <v>147</v>
      </c>
      <c r="B148" t="s">
        <v>618</v>
      </c>
      <c r="C148" t="s">
        <v>1717</v>
      </c>
      <c r="D148" t="s">
        <v>114</v>
      </c>
      <c r="E148" t="s">
        <v>68</v>
      </c>
      <c r="F148" t="s">
        <v>447</v>
      </c>
      <c r="G148">
        <v>13</v>
      </c>
      <c r="H148">
        <v>6.2464400699999976</v>
      </c>
      <c r="I148" t="s">
        <v>446</v>
      </c>
      <c r="J148">
        <v>12</v>
      </c>
      <c r="K148">
        <v>8.2006146900000001</v>
      </c>
      <c r="L148">
        <v>7</v>
      </c>
      <c r="M148" t="s">
        <v>119</v>
      </c>
      <c r="N148">
        <v>5</v>
      </c>
      <c r="O148">
        <v>16</v>
      </c>
      <c r="P148">
        <v>168</v>
      </c>
      <c r="Q148">
        <v>69</v>
      </c>
      <c r="R148" t="s">
        <v>620</v>
      </c>
      <c r="S148" s="3" t="s">
        <v>141</v>
      </c>
      <c r="T148" s="3">
        <f t="shared" si="6"/>
        <v>1</v>
      </c>
      <c r="U148" t="s">
        <v>149</v>
      </c>
      <c r="V148" t="s">
        <v>379</v>
      </c>
      <c r="W148" t="s">
        <v>95</v>
      </c>
      <c r="X148">
        <v>1</v>
      </c>
      <c r="Y148" t="s">
        <v>41</v>
      </c>
      <c r="Z148" t="s">
        <v>92</v>
      </c>
      <c r="AA148" t="s">
        <v>63</v>
      </c>
      <c r="AB148" t="s">
        <v>412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 t="s">
        <v>619</v>
      </c>
      <c r="AK148" t="s">
        <v>65</v>
      </c>
      <c r="AL148" t="s">
        <v>66</v>
      </c>
      <c r="AM148" t="str">
        <f t="shared" si="7"/>
        <v>2024-2027</v>
      </c>
      <c r="AN148">
        <f t="shared" si="8"/>
        <v>3</v>
      </c>
    </row>
    <row r="149" spans="1:40" x14ac:dyDescent="0.2">
      <c r="A149">
        <v>148</v>
      </c>
      <c r="B149" t="s">
        <v>621</v>
      </c>
      <c r="C149" t="s">
        <v>1718</v>
      </c>
      <c r="D149" t="s">
        <v>60</v>
      </c>
      <c r="E149" t="s">
        <v>68</v>
      </c>
      <c r="F149" t="s">
        <v>625</v>
      </c>
      <c r="G149">
        <v>12</v>
      </c>
      <c r="H149">
        <v>3.9472082400000001</v>
      </c>
      <c r="I149" t="s">
        <v>623</v>
      </c>
      <c r="J149">
        <v>7</v>
      </c>
      <c r="K149">
        <v>1.9635864759999999</v>
      </c>
      <c r="L149">
        <v>5</v>
      </c>
      <c r="M149" t="s">
        <v>119</v>
      </c>
      <c r="N149">
        <v>3</v>
      </c>
      <c r="O149">
        <v>16</v>
      </c>
      <c r="P149">
        <v>78</v>
      </c>
      <c r="Q149">
        <v>70</v>
      </c>
      <c r="R149" t="s">
        <v>624</v>
      </c>
      <c r="S149" s="3" t="s">
        <v>90</v>
      </c>
      <c r="T149" s="3">
        <f t="shared" si="6"/>
        <v>1</v>
      </c>
      <c r="U149" t="s">
        <v>96</v>
      </c>
      <c r="V149" t="s">
        <v>379</v>
      </c>
      <c r="W149" t="s">
        <v>95</v>
      </c>
      <c r="X149">
        <v>1</v>
      </c>
      <c r="Y149" t="s">
        <v>41</v>
      </c>
      <c r="Z149" t="s">
        <v>92</v>
      </c>
      <c r="AA149" t="s">
        <v>43</v>
      </c>
      <c r="AB149" t="s">
        <v>118</v>
      </c>
      <c r="AC149">
        <v>2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1</v>
      </c>
      <c r="AJ149" t="s">
        <v>622</v>
      </c>
      <c r="AK149" t="s">
        <v>55</v>
      </c>
      <c r="AL149" t="s">
        <v>56</v>
      </c>
      <c r="AM149" t="str">
        <f t="shared" si="7"/>
        <v>2022-2027</v>
      </c>
      <c r="AN149">
        <f t="shared" si="8"/>
        <v>5</v>
      </c>
    </row>
    <row r="150" spans="1:40" x14ac:dyDescent="0.2">
      <c r="A150">
        <v>149</v>
      </c>
      <c r="B150" t="s">
        <v>626</v>
      </c>
      <c r="C150" t="s">
        <v>1718</v>
      </c>
      <c r="D150" t="s">
        <v>60</v>
      </c>
      <c r="E150" t="s">
        <v>68</v>
      </c>
      <c r="F150" t="s">
        <v>303</v>
      </c>
      <c r="G150">
        <v>1</v>
      </c>
      <c r="H150">
        <v>0.71970440000000002</v>
      </c>
      <c r="I150" t="s">
        <v>301</v>
      </c>
      <c r="J150">
        <v>1</v>
      </c>
      <c r="K150">
        <v>0.38879659999999999</v>
      </c>
      <c r="L150">
        <v>0</v>
      </c>
      <c r="M150" t="s">
        <v>137</v>
      </c>
      <c r="N150">
        <v>0</v>
      </c>
      <c r="O150">
        <v>2</v>
      </c>
      <c r="P150">
        <v>0</v>
      </c>
      <c r="Q150">
        <v>70</v>
      </c>
      <c r="R150" t="s">
        <v>624</v>
      </c>
      <c r="S150" s="3" t="s">
        <v>90</v>
      </c>
      <c r="T150" s="3">
        <f t="shared" si="6"/>
        <v>1</v>
      </c>
      <c r="U150" t="s">
        <v>96</v>
      </c>
      <c r="V150" t="s">
        <v>379</v>
      </c>
      <c r="W150" t="s">
        <v>95</v>
      </c>
      <c r="X150">
        <v>1</v>
      </c>
      <c r="Y150" t="s">
        <v>41</v>
      </c>
      <c r="Z150" t="s">
        <v>92</v>
      </c>
      <c r="AA150" t="s">
        <v>43</v>
      </c>
      <c r="AB150" t="s">
        <v>118</v>
      </c>
      <c r="AC150">
        <v>2</v>
      </c>
      <c r="AD150">
        <v>0</v>
      </c>
      <c r="AE150">
        <v>0</v>
      </c>
      <c r="AF150">
        <v>1</v>
      </c>
      <c r="AG150">
        <v>1</v>
      </c>
      <c r="AH150">
        <v>0</v>
      </c>
      <c r="AI150">
        <v>0</v>
      </c>
      <c r="AJ150" t="s">
        <v>627</v>
      </c>
      <c r="AK150" t="s">
        <v>193</v>
      </c>
      <c r="AL150" t="s">
        <v>194</v>
      </c>
      <c r="AM150" t="str">
        <f t="shared" si="7"/>
        <v>2018-2021</v>
      </c>
      <c r="AN150">
        <f t="shared" si="8"/>
        <v>3</v>
      </c>
    </row>
    <row r="151" spans="1:40" x14ac:dyDescent="0.2">
      <c r="A151">
        <v>150</v>
      </c>
      <c r="B151" t="s">
        <v>628</v>
      </c>
      <c r="C151" t="s">
        <v>1717</v>
      </c>
      <c r="D151" t="s">
        <v>60</v>
      </c>
      <c r="E151" t="s">
        <v>68</v>
      </c>
      <c r="F151" t="s">
        <v>447</v>
      </c>
      <c r="G151">
        <v>4</v>
      </c>
      <c r="H151">
        <v>1.93247327</v>
      </c>
      <c r="I151" t="s">
        <v>446</v>
      </c>
      <c r="J151">
        <v>4</v>
      </c>
      <c r="K151">
        <v>2.1458499500000001</v>
      </c>
      <c r="L151">
        <v>2</v>
      </c>
      <c r="M151" t="s">
        <v>97</v>
      </c>
      <c r="N151">
        <v>0</v>
      </c>
      <c r="O151">
        <v>8</v>
      </c>
      <c r="P151">
        <v>9</v>
      </c>
      <c r="Q151">
        <v>70</v>
      </c>
      <c r="R151" t="s">
        <v>624</v>
      </c>
      <c r="S151" s="3" t="s">
        <v>90</v>
      </c>
      <c r="T151" s="3">
        <f t="shared" si="6"/>
        <v>1</v>
      </c>
      <c r="U151" t="s">
        <v>96</v>
      </c>
      <c r="V151" t="s">
        <v>379</v>
      </c>
      <c r="W151" t="s">
        <v>95</v>
      </c>
      <c r="X151">
        <v>1</v>
      </c>
      <c r="Y151" t="s">
        <v>41</v>
      </c>
      <c r="Z151" t="s">
        <v>92</v>
      </c>
      <c r="AA151" t="s">
        <v>43</v>
      </c>
      <c r="AB151" t="s">
        <v>118</v>
      </c>
      <c r="AC151">
        <v>2</v>
      </c>
      <c r="AD151">
        <v>1</v>
      </c>
      <c r="AE151">
        <v>1</v>
      </c>
      <c r="AF151">
        <v>0</v>
      </c>
      <c r="AG151">
        <v>0</v>
      </c>
      <c r="AH151">
        <v>0</v>
      </c>
      <c r="AI151">
        <v>0</v>
      </c>
      <c r="AJ151" t="s">
        <v>629</v>
      </c>
      <c r="AK151" t="s">
        <v>74</v>
      </c>
      <c r="AL151" t="s">
        <v>75</v>
      </c>
      <c r="AM151" t="str">
        <f t="shared" si="7"/>
        <v>2014-2018</v>
      </c>
      <c r="AN151">
        <f t="shared" si="8"/>
        <v>4</v>
      </c>
    </row>
    <row r="152" spans="1:40" x14ac:dyDescent="0.2">
      <c r="A152">
        <v>151</v>
      </c>
      <c r="B152" t="s">
        <v>630</v>
      </c>
      <c r="C152" t="s">
        <v>1717</v>
      </c>
      <c r="D152" t="s">
        <v>72</v>
      </c>
      <c r="E152" t="s">
        <v>68</v>
      </c>
      <c r="F152" t="s">
        <v>386</v>
      </c>
      <c r="G152">
        <v>31</v>
      </c>
      <c r="H152">
        <v>9.3526756660000032</v>
      </c>
      <c r="I152" t="s">
        <v>385</v>
      </c>
      <c r="J152">
        <v>22</v>
      </c>
      <c r="K152">
        <v>10.72573757</v>
      </c>
      <c r="L152">
        <v>7</v>
      </c>
      <c r="M152" t="s">
        <v>119</v>
      </c>
      <c r="N152">
        <v>6</v>
      </c>
      <c r="O152">
        <v>42</v>
      </c>
      <c r="P152">
        <v>161</v>
      </c>
      <c r="Q152">
        <v>71</v>
      </c>
      <c r="R152" t="s">
        <v>632</v>
      </c>
      <c r="S152" s="3" t="s">
        <v>90</v>
      </c>
      <c r="T152" s="3">
        <f t="shared" si="6"/>
        <v>1</v>
      </c>
      <c r="U152" t="s">
        <v>96</v>
      </c>
      <c r="V152" t="s">
        <v>379</v>
      </c>
      <c r="W152" t="s">
        <v>95</v>
      </c>
      <c r="X152">
        <v>1</v>
      </c>
      <c r="Y152" t="s">
        <v>41</v>
      </c>
      <c r="Z152" t="s">
        <v>92</v>
      </c>
      <c r="AA152" t="s">
        <v>43</v>
      </c>
      <c r="AB152" t="s">
        <v>118</v>
      </c>
      <c r="AC152">
        <v>2</v>
      </c>
      <c r="AD152">
        <v>0</v>
      </c>
      <c r="AE152">
        <v>1</v>
      </c>
      <c r="AF152">
        <v>1</v>
      </c>
      <c r="AG152">
        <v>0</v>
      </c>
      <c r="AH152">
        <v>0</v>
      </c>
      <c r="AI152">
        <v>0</v>
      </c>
      <c r="AJ152" t="s">
        <v>631</v>
      </c>
      <c r="AK152" t="s">
        <v>156</v>
      </c>
      <c r="AL152" t="s">
        <v>157</v>
      </c>
      <c r="AM152" t="str">
        <f t="shared" si="7"/>
        <v>2016-2020</v>
      </c>
      <c r="AN152">
        <f t="shared" si="8"/>
        <v>4</v>
      </c>
    </row>
    <row r="153" spans="1:40" x14ac:dyDescent="0.2">
      <c r="A153">
        <v>152</v>
      </c>
      <c r="B153" t="s">
        <v>633</v>
      </c>
      <c r="C153" t="s">
        <v>1718</v>
      </c>
      <c r="D153" t="s">
        <v>72</v>
      </c>
      <c r="E153" t="s">
        <v>68</v>
      </c>
      <c r="F153" t="s">
        <v>386</v>
      </c>
      <c r="G153">
        <v>46</v>
      </c>
      <c r="H153">
        <v>23.30814007</v>
      </c>
      <c r="I153" t="s">
        <v>385</v>
      </c>
      <c r="J153">
        <v>35</v>
      </c>
      <c r="K153">
        <v>17.912934060000001</v>
      </c>
      <c r="L153">
        <v>8</v>
      </c>
      <c r="M153" t="s">
        <v>119</v>
      </c>
      <c r="N153">
        <v>6</v>
      </c>
      <c r="O153">
        <v>62</v>
      </c>
      <c r="P153">
        <v>314</v>
      </c>
      <c r="Q153">
        <v>71</v>
      </c>
      <c r="R153" t="s">
        <v>632</v>
      </c>
      <c r="S153" s="3" t="s">
        <v>90</v>
      </c>
      <c r="T153" s="3">
        <f t="shared" si="6"/>
        <v>1</v>
      </c>
      <c r="U153" t="s">
        <v>96</v>
      </c>
      <c r="V153" t="s">
        <v>379</v>
      </c>
      <c r="W153" t="s">
        <v>95</v>
      </c>
      <c r="X153">
        <v>1</v>
      </c>
      <c r="Y153" t="s">
        <v>41</v>
      </c>
      <c r="Z153" t="s">
        <v>92</v>
      </c>
      <c r="AA153" t="s">
        <v>43</v>
      </c>
      <c r="AB153" t="s">
        <v>118</v>
      </c>
      <c r="AC153">
        <v>2</v>
      </c>
      <c r="AD153">
        <v>0</v>
      </c>
      <c r="AE153">
        <v>0</v>
      </c>
      <c r="AF153">
        <v>0</v>
      </c>
      <c r="AG153">
        <v>1</v>
      </c>
      <c r="AH153">
        <v>1</v>
      </c>
      <c r="AI153">
        <v>0</v>
      </c>
      <c r="AJ153" t="s">
        <v>634</v>
      </c>
      <c r="AK153" t="s">
        <v>213</v>
      </c>
      <c r="AL153" t="s">
        <v>214</v>
      </c>
      <c r="AM153" t="str">
        <f t="shared" si="7"/>
        <v>2020-2024</v>
      </c>
      <c r="AN153">
        <f t="shared" si="8"/>
        <v>4</v>
      </c>
    </row>
    <row r="154" spans="1:40" x14ac:dyDescent="0.2">
      <c r="A154">
        <v>153</v>
      </c>
      <c r="B154" t="s">
        <v>635</v>
      </c>
      <c r="C154" t="s">
        <v>1717</v>
      </c>
      <c r="D154" t="s">
        <v>114</v>
      </c>
      <c r="E154" t="s">
        <v>98</v>
      </c>
      <c r="F154" t="s">
        <v>99</v>
      </c>
      <c r="G154">
        <v>18</v>
      </c>
      <c r="H154">
        <v>6.3341714500000004</v>
      </c>
      <c r="I154" t="s">
        <v>88</v>
      </c>
      <c r="J154">
        <v>9</v>
      </c>
      <c r="K154">
        <v>3.8416053899999998</v>
      </c>
      <c r="L154">
        <v>5</v>
      </c>
      <c r="M154" t="s">
        <v>119</v>
      </c>
      <c r="N154">
        <v>3</v>
      </c>
      <c r="O154">
        <v>28</v>
      </c>
      <c r="P154">
        <v>72</v>
      </c>
      <c r="Q154">
        <v>71</v>
      </c>
      <c r="R154" t="s">
        <v>632</v>
      </c>
      <c r="S154" s="3" t="s">
        <v>90</v>
      </c>
      <c r="T154" s="3">
        <f t="shared" si="6"/>
        <v>1</v>
      </c>
      <c r="U154" t="s">
        <v>96</v>
      </c>
      <c r="V154" t="s">
        <v>379</v>
      </c>
      <c r="W154" t="s">
        <v>95</v>
      </c>
      <c r="X154">
        <v>1</v>
      </c>
      <c r="Y154" t="s">
        <v>41</v>
      </c>
      <c r="Z154" t="s">
        <v>92</v>
      </c>
      <c r="AA154" t="s">
        <v>43</v>
      </c>
      <c r="AB154" t="s">
        <v>118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 t="s">
        <v>636</v>
      </c>
      <c r="AK154" t="s">
        <v>65</v>
      </c>
      <c r="AL154" t="s">
        <v>66</v>
      </c>
      <c r="AM154" t="str">
        <f t="shared" si="7"/>
        <v>2024-2027</v>
      </c>
      <c r="AN154">
        <f t="shared" si="8"/>
        <v>3</v>
      </c>
    </row>
    <row r="155" spans="1:40" x14ac:dyDescent="0.2">
      <c r="A155">
        <v>154</v>
      </c>
      <c r="B155" t="s">
        <v>637</v>
      </c>
      <c r="C155" t="s">
        <v>1717</v>
      </c>
      <c r="D155" t="s">
        <v>37</v>
      </c>
      <c r="E155" t="s">
        <v>68</v>
      </c>
      <c r="F155" t="s">
        <v>577</v>
      </c>
      <c r="G155">
        <v>20</v>
      </c>
      <c r="H155">
        <v>4.9471193500000004</v>
      </c>
      <c r="I155" t="s">
        <v>575</v>
      </c>
      <c r="J155">
        <v>19</v>
      </c>
      <c r="K155">
        <v>2.8082184319999999</v>
      </c>
      <c r="L155">
        <v>5</v>
      </c>
      <c r="M155" t="s">
        <v>119</v>
      </c>
      <c r="N155">
        <v>3</v>
      </c>
      <c r="O155">
        <v>29</v>
      </c>
      <c r="P155">
        <v>82</v>
      </c>
      <c r="Q155">
        <v>71</v>
      </c>
      <c r="R155" t="s">
        <v>632</v>
      </c>
      <c r="S155" s="3" t="s">
        <v>90</v>
      </c>
      <c r="T155" s="3">
        <f t="shared" si="6"/>
        <v>1</v>
      </c>
      <c r="U155" t="s">
        <v>96</v>
      </c>
      <c r="V155" t="s">
        <v>379</v>
      </c>
      <c r="W155" t="s">
        <v>95</v>
      </c>
      <c r="X155">
        <v>1</v>
      </c>
      <c r="Y155" t="s">
        <v>41</v>
      </c>
      <c r="Z155" t="s">
        <v>92</v>
      </c>
      <c r="AA155" t="s">
        <v>43</v>
      </c>
      <c r="AB155" t="s">
        <v>118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 t="s">
        <v>638</v>
      </c>
      <c r="AK155" t="s">
        <v>65</v>
      </c>
      <c r="AL155" t="s">
        <v>66</v>
      </c>
      <c r="AM155" t="str">
        <f t="shared" si="7"/>
        <v>2024-2027</v>
      </c>
      <c r="AN155">
        <f t="shared" si="8"/>
        <v>3</v>
      </c>
    </row>
    <row r="156" spans="1:40" x14ac:dyDescent="0.2">
      <c r="A156">
        <v>155</v>
      </c>
      <c r="B156" t="s">
        <v>639</v>
      </c>
      <c r="C156" t="s">
        <v>1717</v>
      </c>
      <c r="D156" t="s">
        <v>72</v>
      </c>
      <c r="E156" t="s">
        <v>68</v>
      </c>
      <c r="F156" t="s">
        <v>386</v>
      </c>
      <c r="G156">
        <v>25</v>
      </c>
      <c r="H156">
        <v>8.4439012699999996</v>
      </c>
      <c r="I156" t="s">
        <v>385</v>
      </c>
      <c r="J156">
        <v>21</v>
      </c>
      <c r="K156">
        <v>10.147208020000001</v>
      </c>
      <c r="L156">
        <v>4</v>
      </c>
      <c r="M156" t="s">
        <v>97</v>
      </c>
      <c r="N156">
        <v>0</v>
      </c>
      <c r="O156">
        <v>33</v>
      </c>
      <c r="P156">
        <v>28</v>
      </c>
      <c r="Q156">
        <v>71</v>
      </c>
      <c r="R156" t="s">
        <v>632</v>
      </c>
      <c r="S156" s="3" t="s">
        <v>90</v>
      </c>
      <c r="T156" s="3">
        <f t="shared" si="6"/>
        <v>1</v>
      </c>
      <c r="U156" t="s">
        <v>96</v>
      </c>
      <c r="V156" t="s">
        <v>379</v>
      </c>
      <c r="W156" t="s">
        <v>95</v>
      </c>
      <c r="X156">
        <v>1</v>
      </c>
      <c r="Y156" t="s">
        <v>41</v>
      </c>
      <c r="Z156" t="s">
        <v>92</v>
      </c>
      <c r="AA156" t="s">
        <v>43</v>
      </c>
      <c r="AB156" t="s">
        <v>118</v>
      </c>
      <c r="AC156">
        <v>2</v>
      </c>
      <c r="AD156">
        <v>1</v>
      </c>
      <c r="AE156">
        <v>1</v>
      </c>
      <c r="AF156">
        <v>0</v>
      </c>
      <c r="AG156">
        <v>0</v>
      </c>
      <c r="AH156">
        <v>0</v>
      </c>
      <c r="AI156">
        <v>0</v>
      </c>
      <c r="AJ156" t="s">
        <v>640</v>
      </c>
      <c r="AK156" t="s">
        <v>82</v>
      </c>
      <c r="AL156" t="s">
        <v>83</v>
      </c>
      <c r="AM156" t="str">
        <f t="shared" si="7"/>
        <v>2014-2016</v>
      </c>
      <c r="AN156">
        <f t="shared" si="8"/>
        <v>2</v>
      </c>
    </row>
    <row r="157" spans="1:40" x14ac:dyDescent="0.2">
      <c r="A157">
        <v>156</v>
      </c>
      <c r="B157" t="s">
        <v>641</v>
      </c>
      <c r="C157" t="s">
        <v>1717</v>
      </c>
      <c r="D157" t="s">
        <v>114</v>
      </c>
      <c r="E157" t="s">
        <v>68</v>
      </c>
      <c r="F157" t="s">
        <v>386</v>
      </c>
      <c r="G157">
        <v>3</v>
      </c>
      <c r="H157">
        <v>1.6466174</v>
      </c>
      <c r="I157" t="s">
        <v>385</v>
      </c>
      <c r="J157">
        <v>3</v>
      </c>
      <c r="K157">
        <v>1.6965870999999999</v>
      </c>
      <c r="L157">
        <v>3</v>
      </c>
      <c r="M157" t="s">
        <v>97</v>
      </c>
      <c r="N157">
        <v>0</v>
      </c>
      <c r="O157">
        <v>3</v>
      </c>
      <c r="P157">
        <v>20</v>
      </c>
      <c r="Q157">
        <v>72</v>
      </c>
      <c r="R157" t="s">
        <v>643</v>
      </c>
      <c r="S157" s="3">
        <v>4</v>
      </c>
      <c r="T157" s="3">
        <f t="shared" si="6"/>
        <v>1</v>
      </c>
      <c r="U157" t="s">
        <v>96</v>
      </c>
      <c r="V157" t="s">
        <v>379</v>
      </c>
      <c r="W157" t="s">
        <v>95</v>
      </c>
      <c r="X157">
        <v>1</v>
      </c>
      <c r="Y157" t="s">
        <v>41</v>
      </c>
      <c r="Z157" t="s">
        <v>92</v>
      </c>
      <c r="AA157" t="s">
        <v>224</v>
      </c>
      <c r="AB157" t="s">
        <v>234</v>
      </c>
      <c r="AC157">
        <v>1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 t="s">
        <v>642</v>
      </c>
      <c r="AK157" t="s">
        <v>202</v>
      </c>
      <c r="AL157" t="s">
        <v>203</v>
      </c>
      <c r="AM157" t="str">
        <f t="shared" si="7"/>
        <v>2018-2020</v>
      </c>
      <c r="AN157">
        <f t="shared" si="8"/>
        <v>2</v>
      </c>
    </row>
    <row r="158" spans="1:40" x14ac:dyDescent="0.2">
      <c r="A158">
        <v>157</v>
      </c>
      <c r="B158" t="s">
        <v>644</v>
      </c>
      <c r="C158" t="s">
        <v>1717</v>
      </c>
      <c r="D158" t="s">
        <v>123</v>
      </c>
      <c r="E158" t="s">
        <v>476</v>
      </c>
      <c r="F158" t="s">
        <v>647</v>
      </c>
      <c r="G158">
        <v>2</v>
      </c>
      <c r="H158">
        <v>0.95012325000000009</v>
      </c>
      <c r="I158" t="s">
        <v>646</v>
      </c>
      <c r="J158">
        <v>2</v>
      </c>
      <c r="K158">
        <v>0.94540500000000005</v>
      </c>
      <c r="L158">
        <v>1</v>
      </c>
      <c r="M158" t="s">
        <v>137</v>
      </c>
      <c r="N158">
        <v>0</v>
      </c>
      <c r="O158">
        <v>2</v>
      </c>
      <c r="P158">
        <v>5</v>
      </c>
      <c r="Q158">
        <v>72</v>
      </c>
      <c r="R158" t="s">
        <v>643</v>
      </c>
      <c r="S158" s="3">
        <v>4</v>
      </c>
      <c r="T158" s="3">
        <f t="shared" si="6"/>
        <v>1</v>
      </c>
      <c r="U158" t="s">
        <v>96</v>
      </c>
      <c r="V158" t="s">
        <v>379</v>
      </c>
      <c r="W158" t="s">
        <v>95</v>
      </c>
      <c r="X158">
        <v>1</v>
      </c>
      <c r="Y158" t="s">
        <v>41</v>
      </c>
      <c r="Z158" t="s">
        <v>92</v>
      </c>
      <c r="AA158" t="s">
        <v>224</v>
      </c>
      <c r="AB158" t="s">
        <v>234</v>
      </c>
      <c r="AC158">
        <v>2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0</v>
      </c>
      <c r="AJ158" t="s">
        <v>645</v>
      </c>
      <c r="AK158" t="s">
        <v>82</v>
      </c>
      <c r="AL158" t="s">
        <v>83</v>
      </c>
      <c r="AM158" t="str">
        <f t="shared" si="7"/>
        <v>2014-2016</v>
      </c>
      <c r="AN158">
        <f t="shared" si="8"/>
        <v>2</v>
      </c>
    </row>
    <row r="159" spans="1:40" x14ac:dyDescent="0.2">
      <c r="A159">
        <v>158</v>
      </c>
      <c r="B159" t="s">
        <v>648</v>
      </c>
      <c r="C159" t="s">
        <v>1717</v>
      </c>
      <c r="D159" t="s">
        <v>123</v>
      </c>
      <c r="E159" t="s">
        <v>476</v>
      </c>
      <c r="I159" t="s">
        <v>226</v>
      </c>
      <c r="M159" t="s">
        <v>226</v>
      </c>
      <c r="Q159">
        <v>73</v>
      </c>
      <c r="R159" t="s">
        <v>649</v>
      </c>
      <c r="S159" s="3" t="s">
        <v>141</v>
      </c>
      <c r="T159" s="3">
        <f t="shared" si="6"/>
        <v>1</v>
      </c>
      <c r="U159" t="s">
        <v>149</v>
      </c>
      <c r="V159" t="s">
        <v>379</v>
      </c>
      <c r="W159" t="s">
        <v>95</v>
      </c>
      <c r="X159">
        <v>1</v>
      </c>
      <c r="Y159" t="s">
        <v>41</v>
      </c>
      <c r="Z159" t="s">
        <v>92</v>
      </c>
      <c r="AA159" t="s">
        <v>360</v>
      </c>
      <c r="AB159" t="s">
        <v>650</v>
      </c>
      <c r="AC159">
        <v>2</v>
      </c>
      <c r="AD159">
        <v>0</v>
      </c>
      <c r="AE159">
        <v>0</v>
      </c>
      <c r="AF159">
        <v>0</v>
      </c>
      <c r="AG159">
        <v>1</v>
      </c>
      <c r="AH159">
        <v>1</v>
      </c>
      <c r="AI159">
        <v>0</v>
      </c>
      <c r="AJ159" t="s">
        <v>226</v>
      </c>
      <c r="AK159" t="s">
        <v>213</v>
      </c>
      <c r="AL159" t="s">
        <v>214</v>
      </c>
      <c r="AM159" t="str">
        <f t="shared" si="7"/>
        <v>2020-2024</v>
      </c>
      <c r="AN159">
        <f t="shared" si="8"/>
        <v>4</v>
      </c>
    </row>
    <row r="160" spans="1:40" x14ac:dyDescent="0.2">
      <c r="A160">
        <v>159</v>
      </c>
      <c r="B160" t="s">
        <v>651</v>
      </c>
      <c r="C160" t="s">
        <v>1717</v>
      </c>
      <c r="D160" t="s">
        <v>123</v>
      </c>
      <c r="E160" t="s">
        <v>68</v>
      </c>
      <c r="F160" t="s">
        <v>654</v>
      </c>
      <c r="G160">
        <v>6</v>
      </c>
      <c r="H160">
        <v>3.0141710100000001</v>
      </c>
      <c r="I160" t="s">
        <v>653</v>
      </c>
      <c r="J160">
        <v>3</v>
      </c>
      <c r="K160">
        <v>2.15195567</v>
      </c>
      <c r="L160">
        <v>4</v>
      </c>
      <c r="M160" t="s">
        <v>97</v>
      </c>
      <c r="N160">
        <v>3</v>
      </c>
      <c r="O160">
        <v>12</v>
      </c>
      <c r="P160">
        <v>61</v>
      </c>
      <c r="Q160">
        <v>73</v>
      </c>
      <c r="R160" t="s">
        <v>649</v>
      </c>
      <c r="S160" s="3" t="s">
        <v>141</v>
      </c>
      <c r="T160" s="3">
        <f t="shared" si="6"/>
        <v>1</v>
      </c>
      <c r="U160" t="s">
        <v>149</v>
      </c>
      <c r="V160" t="s">
        <v>379</v>
      </c>
      <c r="W160" t="s">
        <v>95</v>
      </c>
      <c r="X160">
        <v>1</v>
      </c>
      <c r="Y160" t="s">
        <v>41</v>
      </c>
      <c r="Z160" t="s">
        <v>92</v>
      </c>
      <c r="AA160" t="s">
        <v>360</v>
      </c>
      <c r="AB160" t="s">
        <v>650</v>
      </c>
      <c r="AC160">
        <v>2</v>
      </c>
      <c r="AD160">
        <v>1</v>
      </c>
      <c r="AE160">
        <v>1</v>
      </c>
      <c r="AF160">
        <v>0</v>
      </c>
      <c r="AG160">
        <v>0</v>
      </c>
      <c r="AH160">
        <v>0</v>
      </c>
      <c r="AI160">
        <v>0</v>
      </c>
      <c r="AJ160" t="s">
        <v>652</v>
      </c>
      <c r="AK160" t="s">
        <v>82</v>
      </c>
      <c r="AL160" t="s">
        <v>83</v>
      </c>
      <c r="AM160" t="str">
        <f t="shared" si="7"/>
        <v>2014-2016</v>
      </c>
      <c r="AN160">
        <f t="shared" si="8"/>
        <v>2</v>
      </c>
    </row>
    <row r="161" spans="1:40" x14ac:dyDescent="0.2">
      <c r="A161">
        <v>160</v>
      </c>
      <c r="B161" t="s">
        <v>655</v>
      </c>
      <c r="C161" t="s">
        <v>1718</v>
      </c>
      <c r="D161" t="s">
        <v>72</v>
      </c>
      <c r="E161" t="s">
        <v>68</v>
      </c>
      <c r="F161" t="s">
        <v>386</v>
      </c>
      <c r="G161">
        <v>4</v>
      </c>
      <c r="H161">
        <v>1.22515939</v>
      </c>
      <c r="I161" t="s">
        <v>385</v>
      </c>
      <c r="J161">
        <v>3</v>
      </c>
      <c r="K161">
        <v>1.7549619999999999</v>
      </c>
      <c r="L161">
        <v>1</v>
      </c>
      <c r="M161" t="s">
        <v>137</v>
      </c>
      <c r="N161">
        <v>1</v>
      </c>
      <c r="O161">
        <v>5</v>
      </c>
      <c r="P161">
        <v>17</v>
      </c>
      <c r="Q161">
        <v>73</v>
      </c>
      <c r="R161" t="s">
        <v>649</v>
      </c>
      <c r="S161" s="3" t="s">
        <v>141</v>
      </c>
      <c r="T161" s="3">
        <f t="shared" si="6"/>
        <v>1</v>
      </c>
      <c r="U161" t="s">
        <v>149</v>
      </c>
      <c r="V161" t="s">
        <v>379</v>
      </c>
      <c r="W161" t="s">
        <v>95</v>
      </c>
      <c r="X161">
        <v>1</v>
      </c>
      <c r="Y161" t="s">
        <v>41</v>
      </c>
      <c r="Z161" t="s">
        <v>92</v>
      </c>
      <c r="AA161" t="s">
        <v>360</v>
      </c>
      <c r="AB161" t="s">
        <v>650</v>
      </c>
      <c r="AC161">
        <v>1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 t="s">
        <v>656</v>
      </c>
      <c r="AK161" t="s">
        <v>320</v>
      </c>
      <c r="AL161" t="s">
        <v>321</v>
      </c>
      <c r="AM161" t="str">
        <f t="shared" si="7"/>
        <v>2016-2018</v>
      </c>
      <c r="AN161">
        <f t="shared" si="8"/>
        <v>2</v>
      </c>
    </row>
    <row r="162" spans="1:40" x14ac:dyDescent="0.2">
      <c r="A162">
        <v>161</v>
      </c>
      <c r="B162" t="s">
        <v>657</v>
      </c>
      <c r="C162" t="s">
        <v>1718</v>
      </c>
      <c r="D162" t="s">
        <v>227</v>
      </c>
      <c r="E162" t="s">
        <v>227</v>
      </c>
      <c r="F162" t="s">
        <v>227</v>
      </c>
      <c r="I162" t="s">
        <v>226</v>
      </c>
      <c r="M162" t="s">
        <v>226</v>
      </c>
      <c r="Q162">
        <v>73</v>
      </c>
      <c r="R162" t="s">
        <v>649</v>
      </c>
      <c r="S162" s="3" t="s">
        <v>141</v>
      </c>
      <c r="T162" s="3">
        <f t="shared" si="6"/>
        <v>1</v>
      </c>
      <c r="U162" t="s">
        <v>149</v>
      </c>
      <c r="V162" t="s">
        <v>379</v>
      </c>
      <c r="W162" t="s">
        <v>95</v>
      </c>
      <c r="X162">
        <v>1</v>
      </c>
      <c r="Y162" t="s">
        <v>41</v>
      </c>
      <c r="Z162" t="s">
        <v>92</v>
      </c>
      <c r="AA162" t="s">
        <v>360</v>
      </c>
      <c r="AB162" t="s">
        <v>650</v>
      </c>
      <c r="AC162">
        <v>1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 t="s">
        <v>226</v>
      </c>
      <c r="AK162" t="s">
        <v>202</v>
      </c>
      <c r="AL162" t="s">
        <v>203</v>
      </c>
      <c r="AM162" t="str">
        <f t="shared" si="7"/>
        <v>2018-2020</v>
      </c>
      <c r="AN162">
        <f t="shared" si="8"/>
        <v>2</v>
      </c>
    </row>
    <row r="163" spans="1:40" x14ac:dyDescent="0.2">
      <c r="A163">
        <v>162</v>
      </c>
      <c r="B163" t="s">
        <v>658</v>
      </c>
      <c r="C163" t="s">
        <v>1717</v>
      </c>
      <c r="D163" t="s">
        <v>114</v>
      </c>
      <c r="E163" t="s">
        <v>68</v>
      </c>
      <c r="F163" t="s">
        <v>447</v>
      </c>
      <c r="G163">
        <v>10</v>
      </c>
      <c r="H163">
        <v>4.5849428700000008</v>
      </c>
      <c r="I163" t="s">
        <v>446</v>
      </c>
      <c r="J163">
        <v>8</v>
      </c>
      <c r="K163">
        <v>4.2909268199999993</v>
      </c>
      <c r="L163">
        <v>6</v>
      </c>
      <c r="M163" t="s">
        <v>119</v>
      </c>
      <c r="N163">
        <v>5</v>
      </c>
      <c r="O163">
        <v>14</v>
      </c>
      <c r="P163">
        <v>380</v>
      </c>
      <c r="Q163">
        <v>74</v>
      </c>
      <c r="R163" t="s">
        <v>660</v>
      </c>
      <c r="S163" s="3" t="s">
        <v>90</v>
      </c>
      <c r="T163" s="3">
        <f t="shared" si="6"/>
        <v>1</v>
      </c>
      <c r="U163" t="s">
        <v>96</v>
      </c>
      <c r="V163" t="s">
        <v>379</v>
      </c>
      <c r="W163" t="s">
        <v>95</v>
      </c>
      <c r="X163">
        <v>1</v>
      </c>
      <c r="Y163" t="s">
        <v>41</v>
      </c>
      <c r="Z163" t="s">
        <v>92</v>
      </c>
      <c r="AA163" t="s">
        <v>43</v>
      </c>
      <c r="AB163" t="s">
        <v>118</v>
      </c>
      <c r="AC163">
        <v>4</v>
      </c>
      <c r="AD163">
        <v>0</v>
      </c>
      <c r="AE163">
        <v>1</v>
      </c>
      <c r="AF163">
        <v>1</v>
      </c>
      <c r="AG163">
        <v>1</v>
      </c>
      <c r="AH163">
        <v>1</v>
      </c>
      <c r="AI163">
        <v>0</v>
      </c>
      <c r="AJ163" t="s">
        <v>659</v>
      </c>
      <c r="AK163" t="s">
        <v>399</v>
      </c>
      <c r="AL163" t="s">
        <v>400</v>
      </c>
      <c r="AM163" t="str">
        <f t="shared" si="7"/>
        <v>2016-2024</v>
      </c>
      <c r="AN163">
        <f t="shared" si="8"/>
        <v>8</v>
      </c>
    </row>
    <row r="164" spans="1:40" x14ac:dyDescent="0.2">
      <c r="A164">
        <v>163</v>
      </c>
      <c r="B164" t="s">
        <v>661</v>
      </c>
      <c r="C164" t="s">
        <v>1717</v>
      </c>
      <c r="D164" t="s">
        <v>123</v>
      </c>
      <c r="E164" t="s">
        <v>98</v>
      </c>
      <c r="F164" t="s">
        <v>99</v>
      </c>
      <c r="G164">
        <v>8</v>
      </c>
      <c r="H164">
        <v>5.2790918599999994</v>
      </c>
      <c r="I164" t="s">
        <v>88</v>
      </c>
      <c r="J164">
        <v>10</v>
      </c>
      <c r="K164">
        <v>5.7677271200000009</v>
      </c>
      <c r="L164">
        <v>4</v>
      </c>
      <c r="M164" t="s">
        <v>97</v>
      </c>
      <c r="N164">
        <v>2</v>
      </c>
      <c r="O164">
        <v>20</v>
      </c>
      <c r="P164">
        <v>79</v>
      </c>
      <c r="Q164">
        <v>74</v>
      </c>
      <c r="R164" t="s">
        <v>660</v>
      </c>
      <c r="S164" s="3" t="s">
        <v>90</v>
      </c>
      <c r="T164" s="3">
        <f t="shared" si="6"/>
        <v>1</v>
      </c>
      <c r="U164" t="s">
        <v>96</v>
      </c>
      <c r="V164" t="s">
        <v>379</v>
      </c>
      <c r="W164" t="s">
        <v>95</v>
      </c>
      <c r="X164">
        <v>1</v>
      </c>
      <c r="Y164" t="s">
        <v>41</v>
      </c>
      <c r="Z164" t="s">
        <v>92</v>
      </c>
      <c r="AA164" t="s">
        <v>43</v>
      </c>
      <c r="AB164" t="s">
        <v>118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 t="s">
        <v>662</v>
      </c>
      <c r="AK164" t="s">
        <v>65</v>
      </c>
      <c r="AL164" t="s">
        <v>66</v>
      </c>
      <c r="AM164" t="str">
        <f t="shared" si="7"/>
        <v>2024-2027</v>
      </c>
      <c r="AN164">
        <f t="shared" si="8"/>
        <v>3</v>
      </c>
    </row>
    <row r="165" spans="1:40" x14ac:dyDescent="0.2">
      <c r="A165">
        <v>164</v>
      </c>
      <c r="B165" t="s">
        <v>663</v>
      </c>
      <c r="C165" t="s">
        <v>1717</v>
      </c>
      <c r="D165" t="s">
        <v>72</v>
      </c>
      <c r="E165" t="s">
        <v>68</v>
      </c>
      <c r="F165" t="s">
        <v>386</v>
      </c>
      <c r="G165">
        <v>62</v>
      </c>
      <c r="H165">
        <v>15.800923144</v>
      </c>
      <c r="I165" t="s">
        <v>385</v>
      </c>
      <c r="J165">
        <v>55</v>
      </c>
      <c r="K165">
        <v>28.88718403</v>
      </c>
      <c r="L165">
        <v>10</v>
      </c>
      <c r="M165" t="s">
        <v>119</v>
      </c>
      <c r="N165">
        <v>14</v>
      </c>
      <c r="O165">
        <v>71</v>
      </c>
      <c r="P165">
        <v>315</v>
      </c>
      <c r="Q165">
        <v>74</v>
      </c>
      <c r="R165" t="s">
        <v>660</v>
      </c>
      <c r="S165" s="3" t="s">
        <v>90</v>
      </c>
      <c r="T165" s="3">
        <f t="shared" si="6"/>
        <v>1</v>
      </c>
      <c r="U165" t="s">
        <v>96</v>
      </c>
      <c r="V165" t="s">
        <v>379</v>
      </c>
      <c r="W165" t="s">
        <v>95</v>
      </c>
      <c r="X165">
        <v>1</v>
      </c>
      <c r="Y165" t="s">
        <v>41</v>
      </c>
      <c r="Z165" t="s">
        <v>92</v>
      </c>
      <c r="AA165" t="s">
        <v>43</v>
      </c>
      <c r="AB165" t="s">
        <v>118</v>
      </c>
      <c r="AC165">
        <v>2</v>
      </c>
      <c r="AD165">
        <v>1</v>
      </c>
      <c r="AE165">
        <v>1</v>
      </c>
      <c r="AF165">
        <v>0</v>
      </c>
      <c r="AG165">
        <v>0</v>
      </c>
      <c r="AH165">
        <v>0</v>
      </c>
      <c r="AI165">
        <v>0</v>
      </c>
      <c r="AJ165" t="s">
        <v>664</v>
      </c>
      <c r="AK165" t="s">
        <v>82</v>
      </c>
      <c r="AL165" t="s">
        <v>83</v>
      </c>
      <c r="AM165" t="str">
        <f t="shared" si="7"/>
        <v>2014-2016</v>
      </c>
      <c r="AN165">
        <f t="shared" si="8"/>
        <v>2</v>
      </c>
    </row>
    <row r="166" spans="1:40" x14ac:dyDescent="0.2">
      <c r="A166">
        <v>165</v>
      </c>
      <c r="B166" t="s">
        <v>665</v>
      </c>
      <c r="C166" t="s">
        <v>1717</v>
      </c>
      <c r="D166" t="s">
        <v>72</v>
      </c>
      <c r="E166" t="s">
        <v>68</v>
      </c>
      <c r="F166" t="s">
        <v>408</v>
      </c>
      <c r="G166">
        <v>10</v>
      </c>
      <c r="H166">
        <v>3.4691946599999999</v>
      </c>
      <c r="I166" t="s">
        <v>407</v>
      </c>
      <c r="J166">
        <v>8</v>
      </c>
      <c r="K166">
        <v>4.2330022500000002</v>
      </c>
      <c r="L166">
        <v>4</v>
      </c>
      <c r="M166" t="s">
        <v>97</v>
      </c>
      <c r="N166">
        <v>0</v>
      </c>
      <c r="O166">
        <v>10</v>
      </c>
      <c r="P166">
        <v>31</v>
      </c>
      <c r="Q166">
        <v>75</v>
      </c>
      <c r="R166" t="s">
        <v>667</v>
      </c>
      <c r="S166" s="3" t="s">
        <v>90</v>
      </c>
      <c r="T166" s="3">
        <f t="shared" si="6"/>
        <v>1</v>
      </c>
      <c r="U166" t="s">
        <v>96</v>
      </c>
      <c r="V166" t="s">
        <v>379</v>
      </c>
      <c r="W166" t="s">
        <v>95</v>
      </c>
      <c r="X166">
        <v>1</v>
      </c>
      <c r="Y166" t="s">
        <v>41</v>
      </c>
      <c r="Z166" t="s">
        <v>92</v>
      </c>
      <c r="AA166" t="s">
        <v>43</v>
      </c>
      <c r="AB166" t="s">
        <v>118</v>
      </c>
      <c r="AC166">
        <v>3</v>
      </c>
      <c r="AD166">
        <v>0</v>
      </c>
      <c r="AE166">
        <v>1</v>
      </c>
      <c r="AF166">
        <v>1</v>
      </c>
      <c r="AG166">
        <v>1</v>
      </c>
      <c r="AH166">
        <v>0</v>
      </c>
      <c r="AI166">
        <v>0</v>
      </c>
      <c r="AJ166" t="s">
        <v>666</v>
      </c>
      <c r="AK166" t="s">
        <v>131</v>
      </c>
      <c r="AL166" t="s">
        <v>132</v>
      </c>
      <c r="AM166" t="str">
        <f t="shared" si="7"/>
        <v>2016-2021</v>
      </c>
      <c r="AN166">
        <f t="shared" si="8"/>
        <v>5</v>
      </c>
    </row>
    <row r="167" spans="1:40" x14ac:dyDescent="0.2">
      <c r="A167">
        <v>166</v>
      </c>
      <c r="B167" t="s">
        <v>668</v>
      </c>
      <c r="C167" t="s">
        <v>1718</v>
      </c>
      <c r="D167" t="s">
        <v>114</v>
      </c>
      <c r="E167" t="s">
        <v>50</v>
      </c>
      <c r="F167" t="s">
        <v>120</v>
      </c>
      <c r="G167">
        <v>19</v>
      </c>
      <c r="H167">
        <v>14.520688610000001</v>
      </c>
      <c r="I167" t="s">
        <v>115</v>
      </c>
      <c r="J167">
        <v>15</v>
      </c>
      <c r="K167">
        <v>5.5493517799999994</v>
      </c>
      <c r="L167">
        <v>10</v>
      </c>
      <c r="M167" t="s">
        <v>119</v>
      </c>
      <c r="N167">
        <v>10</v>
      </c>
      <c r="O167">
        <v>26</v>
      </c>
      <c r="P167">
        <v>290</v>
      </c>
      <c r="Q167">
        <v>75</v>
      </c>
      <c r="R167" t="s">
        <v>667</v>
      </c>
      <c r="S167" s="3" t="s">
        <v>90</v>
      </c>
      <c r="T167" s="3">
        <f t="shared" si="6"/>
        <v>1</v>
      </c>
      <c r="U167" t="s">
        <v>96</v>
      </c>
      <c r="V167" t="s">
        <v>379</v>
      </c>
      <c r="W167" t="s">
        <v>95</v>
      </c>
      <c r="X167">
        <v>1</v>
      </c>
      <c r="Y167" t="s">
        <v>41</v>
      </c>
      <c r="Z167" t="s">
        <v>92</v>
      </c>
      <c r="AA167" t="s">
        <v>224</v>
      </c>
      <c r="AB167" t="s">
        <v>234</v>
      </c>
      <c r="AC167">
        <v>2</v>
      </c>
      <c r="AD167">
        <v>1</v>
      </c>
      <c r="AE167">
        <v>1</v>
      </c>
      <c r="AF167">
        <v>0</v>
      </c>
      <c r="AG167">
        <v>0</v>
      </c>
      <c r="AH167">
        <v>0</v>
      </c>
      <c r="AI167">
        <v>0</v>
      </c>
      <c r="AJ167" t="s">
        <v>669</v>
      </c>
      <c r="AK167" t="s">
        <v>82</v>
      </c>
      <c r="AL167" t="s">
        <v>83</v>
      </c>
      <c r="AM167" t="str">
        <f t="shared" si="7"/>
        <v>2014-2016</v>
      </c>
      <c r="AN167">
        <f t="shared" si="8"/>
        <v>2</v>
      </c>
    </row>
    <row r="168" spans="1:40" x14ac:dyDescent="0.2">
      <c r="A168">
        <v>167</v>
      </c>
      <c r="B168" t="s">
        <v>670</v>
      </c>
      <c r="C168" t="s">
        <v>1717</v>
      </c>
      <c r="D168" t="s">
        <v>114</v>
      </c>
      <c r="E168" t="s">
        <v>50</v>
      </c>
      <c r="F168" t="s">
        <v>120</v>
      </c>
      <c r="G168">
        <v>21</v>
      </c>
      <c r="H168">
        <v>11.002853093000001</v>
      </c>
      <c r="I168" t="s">
        <v>115</v>
      </c>
      <c r="J168">
        <v>10</v>
      </c>
      <c r="K168">
        <v>3.1117606499999999</v>
      </c>
      <c r="L168">
        <v>8</v>
      </c>
      <c r="M168" t="s">
        <v>119</v>
      </c>
      <c r="N168">
        <v>8</v>
      </c>
      <c r="O168">
        <v>23</v>
      </c>
      <c r="P168">
        <v>222</v>
      </c>
      <c r="Q168">
        <v>75</v>
      </c>
      <c r="R168" t="s">
        <v>667</v>
      </c>
      <c r="S168" s="3" t="s">
        <v>90</v>
      </c>
      <c r="T168" s="3">
        <f t="shared" si="6"/>
        <v>1</v>
      </c>
      <c r="U168" t="s">
        <v>96</v>
      </c>
      <c r="V168" t="s">
        <v>379</v>
      </c>
      <c r="W168" t="s">
        <v>95</v>
      </c>
      <c r="X168">
        <v>1</v>
      </c>
      <c r="Y168" t="s">
        <v>41</v>
      </c>
      <c r="Z168" t="s">
        <v>92</v>
      </c>
      <c r="AA168" t="s">
        <v>224</v>
      </c>
      <c r="AB168" t="s">
        <v>234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 t="s">
        <v>671</v>
      </c>
      <c r="AK168" t="s">
        <v>125</v>
      </c>
      <c r="AL168" t="s">
        <v>126</v>
      </c>
      <c r="AM168" t="str">
        <f t="shared" si="7"/>
        <v>2022-2024</v>
      </c>
      <c r="AN168">
        <f t="shared" si="8"/>
        <v>2</v>
      </c>
    </row>
    <row r="169" spans="1:40" x14ac:dyDescent="0.2">
      <c r="A169">
        <v>168</v>
      </c>
      <c r="B169" t="s">
        <v>672</v>
      </c>
      <c r="C169" t="s">
        <v>1717</v>
      </c>
      <c r="D169" t="s">
        <v>114</v>
      </c>
      <c r="E169" t="s">
        <v>50</v>
      </c>
      <c r="F169" t="s">
        <v>676</v>
      </c>
      <c r="G169">
        <v>3</v>
      </c>
      <c r="H169">
        <v>2.2133567200000002</v>
      </c>
      <c r="I169" t="s">
        <v>674</v>
      </c>
      <c r="J169">
        <v>2</v>
      </c>
      <c r="K169">
        <v>1.06859148</v>
      </c>
      <c r="L169">
        <v>1</v>
      </c>
      <c r="M169" t="s">
        <v>137</v>
      </c>
      <c r="N169">
        <v>0</v>
      </c>
      <c r="O169">
        <v>4</v>
      </c>
      <c r="P169">
        <v>5</v>
      </c>
      <c r="Q169">
        <v>76</v>
      </c>
      <c r="R169" t="s">
        <v>675</v>
      </c>
      <c r="S169" s="3" t="s">
        <v>90</v>
      </c>
      <c r="T169" s="3">
        <f t="shared" si="6"/>
        <v>1</v>
      </c>
      <c r="U169" t="s">
        <v>96</v>
      </c>
      <c r="V169" t="s">
        <v>379</v>
      </c>
      <c r="W169" t="s">
        <v>95</v>
      </c>
      <c r="X169">
        <v>1</v>
      </c>
      <c r="Y169" t="s">
        <v>41</v>
      </c>
      <c r="Z169" t="s">
        <v>92</v>
      </c>
      <c r="AA169" t="s">
        <v>224</v>
      </c>
      <c r="AB169" t="s">
        <v>234</v>
      </c>
      <c r="AC169">
        <v>4</v>
      </c>
      <c r="AD169">
        <v>0</v>
      </c>
      <c r="AE169">
        <v>1</v>
      </c>
      <c r="AF169">
        <v>1</v>
      </c>
      <c r="AG169">
        <v>1</v>
      </c>
      <c r="AH169">
        <v>1</v>
      </c>
      <c r="AI169">
        <v>0</v>
      </c>
      <c r="AJ169" t="s">
        <v>673</v>
      </c>
      <c r="AK169" t="s">
        <v>399</v>
      </c>
      <c r="AL169" t="s">
        <v>400</v>
      </c>
      <c r="AM169" t="str">
        <f t="shared" si="7"/>
        <v>2016-2024</v>
      </c>
      <c r="AN169">
        <f t="shared" si="8"/>
        <v>8</v>
      </c>
    </row>
    <row r="170" spans="1:40" x14ac:dyDescent="0.2">
      <c r="A170">
        <v>169</v>
      </c>
      <c r="B170" t="s">
        <v>677</v>
      </c>
      <c r="C170" t="s">
        <v>1717</v>
      </c>
      <c r="D170" t="s">
        <v>231</v>
      </c>
      <c r="E170" t="s">
        <v>98</v>
      </c>
      <c r="F170" t="s">
        <v>99</v>
      </c>
      <c r="G170">
        <v>28</v>
      </c>
      <c r="H170">
        <v>12.01714065</v>
      </c>
      <c r="I170" t="s">
        <v>88</v>
      </c>
      <c r="J170">
        <v>26</v>
      </c>
      <c r="K170">
        <v>14.17525674</v>
      </c>
      <c r="L170">
        <v>3</v>
      </c>
      <c r="M170" t="s">
        <v>97</v>
      </c>
      <c r="N170">
        <v>1</v>
      </c>
      <c r="O170">
        <v>73</v>
      </c>
      <c r="P170">
        <v>40</v>
      </c>
      <c r="Q170">
        <v>76</v>
      </c>
      <c r="R170" t="s">
        <v>675</v>
      </c>
      <c r="S170" s="3" t="s">
        <v>90</v>
      </c>
      <c r="T170" s="3">
        <f t="shared" si="6"/>
        <v>1</v>
      </c>
      <c r="U170" t="s">
        <v>96</v>
      </c>
      <c r="V170" t="s">
        <v>379</v>
      </c>
      <c r="W170" t="s">
        <v>95</v>
      </c>
      <c r="X170">
        <v>1</v>
      </c>
      <c r="Y170" t="s">
        <v>41</v>
      </c>
      <c r="Z170" t="s">
        <v>92</v>
      </c>
      <c r="AA170" t="s">
        <v>43</v>
      </c>
      <c r="AB170" t="s">
        <v>44</v>
      </c>
      <c r="AC170">
        <v>2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0</v>
      </c>
      <c r="AJ170" t="s">
        <v>678</v>
      </c>
      <c r="AK170" t="s">
        <v>82</v>
      </c>
      <c r="AL170" t="s">
        <v>83</v>
      </c>
      <c r="AM170" t="str">
        <f t="shared" si="7"/>
        <v>2014-2016</v>
      </c>
      <c r="AN170">
        <f t="shared" si="8"/>
        <v>2</v>
      </c>
    </row>
    <row r="171" spans="1:40" x14ac:dyDescent="0.2">
      <c r="A171">
        <v>170</v>
      </c>
      <c r="B171" t="s">
        <v>679</v>
      </c>
      <c r="C171" t="s">
        <v>1717</v>
      </c>
      <c r="D171" t="s">
        <v>186</v>
      </c>
      <c r="E171" t="s">
        <v>98</v>
      </c>
      <c r="F171" t="s">
        <v>99</v>
      </c>
      <c r="G171">
        <v>22</v>
      </c>
      <c r="H171">
        <v>4.0499394850000003</v>
      </c>
      <c r="I171" t="s">
        <v>88</v>
      </c>
      <c r="J171">
        <v>32</v>
      </c>
      <c r="K171">
        <v>17.081690569999999</v>
      </c>
      <c r="L171">
        <v>3</v>
      </c>
      <c r="M171" t="s">
        <v>97</v>
      </c>
      <c r="N171">
        <v>0</v>
      </c>
      <c r="O171">
        <v>60</v>
      </c>
      <c r="P171">
        <v>29</v>
      </c>
      <c r="Q171">
        <v>76</v>
      </c>
      <c r="R171" t="s">
        <v>675</v>
      </c>
      <c r="S171" s="3" t="s">
        <v>90</v>
      </c>
      <c r="T171" s="3">
        <f t="shared" si="6"/>
        <v>1</v>
      </c>
      <c r="U171" t="s">
        <v>96</v>
      </c>
      <c r="V171" t="s">
        <v>379</v>
      </c>
      <c r="W171" t="s">
        <v>95</v>
      </c>
      <c r="X171">
        <v>1</v>
      </c>
      <c r="Y171" t="s">
        <v>41</v>
      </c>
      <c r="Z171" t="s">
        <v>92</v>
      </c>
      <c r="AA171" t="s">
        <v>43</v>
      </c>
      <c r="AB171" t="s">
        <v>44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 t="s">
        <v>680</v>
      </c>
      <c r="AK171" t="s">
        <v>65</v>
      </c>
      <c r="AL171" t="s">
        <v>66</v>
      </c>
      <c r="AM171" t="str">
        <f t="shared" si="7"/>
        <v>2024-2027</v>
      </c>
      <c r="AN171">
        <f t="shared" si="8"/>
        <v>3</v>
      </c>
    </row>
    <row r="172" spans="1:40" x14ac:dyDescent="0.2">
      <c r="A172">
        <v>171</v>
      </c>
      <c r="B172" t="s">
        <v>681</v>
      </c>
      <c r="C172" t="s">
        <v>1717</v>
      </c>
      <c r="D172" t="s">
        <v>72</v>
      </c>
      <c r="E172" t="s">
        <v>68</v>
      </c>
      <c r="F172" t="s">
        <v>687</v>
      </c>
      <c r="G172">
        <v>91</v>
      </c>
      <c r="H172">
        <v>46.088295723999991</v>
      </c>
      <c r="I172" t="s">
        <v>683</v>
      </c>
      <c r="J172">
        <v>66</v>
      </c>
      <c r="K172">
        <v>22.160170101999991</v>
      </c>
      <c r="L172">
        <v>15</v>
      </c>
      <c r="M172" t="s">
        <v>67</v>
      </c>
      <c r="N172">
        <v>24</v>
      </c>
      <c r="O172">
        <v>122</v>
      </c>
      <c r="P172">
        <v>746</v>
      </c>
      <c r="Q172">
        <v>77</v>
      </c>
      <c r="R172" t="s">
        <v>684</v>
      </c>
      <c r="S172" s="3">
        <v>3</v>
      </c>
      <c r="T172" s="3">
        <f t="shared" si="6"/>
        <v>1</v>
      </c>
      <c r="U172" t="s">
        <v>149</v>
      </c>
      <c r="V172" t="s">
        <v>379</v>
      </c>
      <c r="W172" t="s">
        <v>95</v>
      </c>
      <c r="X172">
        <v>1</v>
      </c>
      <c r="Y172" t="s">
        <v>41</v>
      </c>
      <c r="Z172" t="s">
        <v>92</v>
      </c>
      <c r="AA172" t="s">
        <v>360</v>
      </c>
      <c r="AB172" t="s">
        <v>361</v>
      </c>
      <c r="AC172">
        <v>2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1</v>
      </c>
      <c r="AJ172" t="s">
        <v>682</v>
      </c>
      <c r="AK172" t="s">
        <v>685</v>
      </c>
      <c r="AL172" t="s">
        <v>686</v>
      </c>
      <c r="AM172" t="str">
        <f t="shared" si="7"/>
        <v>2016-2027</v>
      </c>
      <c r="AN172">
        <f t="shared" si="8"/>
        <v>11</v>
      </c>
    </row>
    <row r="173" spans="1:40" x14ac:dyDescent="0.2">
      <c r="A173">
        <v>172</v>
      </c>
      <c r="B173" t="s">
        <v>688</v>
      </c>
      <c r="C173" t="s">
        <v>1718</v>
      </c>
      <c r="D173" t="s">
        <v>114</v>
      </c>
      <c r="E173" t="s">
        <v>68</v>
      </c>
      <c r="F173" t="s">
        <v>691</v>
      </c>
      <c r="G173">
        <v>4</v>
      </c>
      <c r="H173">
        <v>2.66959736</v>
      </c>
      <c r="I173" t="s">
        <v>690</v>
      </c>
      <c r="J173">
        <v>2</v>
      </c>
      <c r="K173">
        <v>1.9339785</v>
      </c>
      <c r="L173">
        <v>3</v>
      </c>
      <c r="M173" t="s">
        <v>97</v>
      </c>
      <c r="N173">
        <v>2</v>
      </c>
      <c r="O173">
        <v>5</v>
      </c>
      <c r="P173">
        <v>92</v>
      </c>
      <c r="Q173">
        <v>77</v>
      </c>
      <c r="R173" t="s">
        <v>684</v>
      </c>
      <c r="S173" s="3">
        <v>3</v>
      </c>
      <c r="T173" s="3">
        <f t="shared" si="6"/>
        <v>1</v>
      </c>
      <c r="U173" t="s">
        <v>149</v>
      </c>
      <c r="V173" t="s">
        <v>379</v>
      </c>
      <c r="W173" t="s">
        <v>95</v>
      </c>
      <c r="X173">
        <v>1</v>
      </c>
      <c r="Y173" t="s">
        <v>41</v>
      </c>
      <c r="Z173" t="s">
        <v>92</v>
      </c>
      <c r="AA173" t="s">
        <v>360</v>
      </c>
      <c r="AB173" t="s">
        <v>361</v>
      </c>
      <c r="AC173">
        <v>2</v>
      </c>
      <c r="AD173">
        <v>1</v>
      </c>
      <c r="AE173">
        <v>1</v>
      </c>
      <c r="AF173">
        <v>0</v>
      </c>
      <c r="AG173">
        <v>0</v>
      </c>
      <c r="AH173">
        <v>0</v>
      </c>
      <c r="AI173">
        <v>0</v>
      </c>
      <c r="AJ173" t="s">
        <v>689</v>
      </c>
      <c r="AK173" t="s">
        <v>82</v>
      </c>
      <c r="AL173" t="s">
        <v>83</v>
      </c>
      <c r="AM173" t="str">
        <f t="shared" si="7"/>
        <v>2014-2016</v>
      </c>
      <c r="AN173">
        <f t="shared" si="8"/>
        <v>2</v>
      </c>
    </row>
    <row r="174" spans="1:40" x14ac:dyDescent="0.2">
      <c r="A174">
        <v>173</v>
      </c>
      <c r="B174" t="s">
        <v>692</v>
      </c>
      <c r="C174" t="s">
        <v>1717</v>
      </c>
      <c r="D174" t="s">
        <v>123</v>
      </c>
      <c r="E174" t="s">
        <v>68</v>
      </c>
      <c r="F174" t="s">
        <v>509</v>
      </c>
      <c r="G174">
        <v>24</v>
      </c>
      <c r="H174">
        <v>13.055413619999999</v>
      </c>
      <c r="I174" t="s">
        <v>507</v>
      </c>
      <c r="J174">
        <v>18</v>
      </c>
      <c r="K174">
        <v>8.2487784300000015</v>
      </c>
      <c r="L174">
        <v>7</v>
      </c>
      <c r="M174" t="s">
        <v>119</v>
      </c>
      <c r="N174">
        <v>7</v>
      </c>
      <c r="O174">
        <v>42</v>
      </c>
      <c r="P174">
        <v>227</v>
      </c>
      <c r="Q174">
        <v>77</v>
      </c>
      <c r="R174" t="s">
        <v>684</v>
      </c>
      <c r="S174" s="3">
        <v>3</v>
      </c>
      <c r="T174" s="3">
        <f t="shared" si="6"/>
        <v>1</v>
      </c>
      <c r="U174" t="s">
        <v>149</v>
      </c>
      <c r="V174" t="s">
        <v>379</v>
      </c>
      <c r="W174" t="s">
        <v>95</v>
      </c>
      <c r="X174">
        <v>1</v>
      </c>
      <c r="Y174" t="s">
        <v>41</v>
      </c>
      <c r="Z174" t="s">
        <v>92</v>
      </c>
      <c r="AA174" t="s">
        <v>360</v>
      </c>
      <c r="AB174" t="s">
        <v>361</v>
      </c>
      <c r="AC174">
        <v>2</v>
      </c>
      <c r="AD174">
        <v>0</v>
      </c>
      <c r="AE174">
        <v>0</v>
      </c>
      <c r="AF174">
        <v>1</v>
      </c>
      <c r="AG174">
        <v>1</v>
      </c>
      <c r="AH174">
        <v>0</v>
      </c>
      <c r="AI174">
        <v>0</v>
      </c>
      <c r="AJ174" t="s">
        <v>693</v>
      </c>
      <c r="AK174" t="s">
        <v>193</v>
      </c>
      <c r="AL174" t="s">
        <v>194</v>
      </c>
      <c r="AM174" t="str">
        <f t="shared" si="7"/>
        <v>2018-2021</v>
      </c>
      <c r="AN174">
        <f t="shared" si="8"/>
        <v>3</v>
      </c>
    </row>
    <row r="175" spans="1:40" x14ac:dyDescent="0.2">
      <c r="A175">
        <v>174</v>
      </c>
      <c r="B175" t="s">
        <v>694</v>
      </c>
      <c r="C175" t="s">
        <v>1717</v>
      </c>
      <c r="D175" t="s">
        <v>696</v>
      </c>
      <c r="E175" t="s">
        <v>68</v>
      </c>
      <c r="F175" t="s">
        <v>698</v>
      </c>
      <c r="G175">
        <v>1</v>
      </c>
      <c r="H175">
        <v>0.44063943999999999</v>
      </c>
      <c r="I175" t="s">
        <v>697</v>
      </c>
      <c r="J175">
        <v>1</v>
      </c>
      <c r="K175">
        <v>0.83945364</v>
      </c>
      <c r="L175">
        <v>1</v>
      </c>
      <c r="M175" t="s">
        <v>137</v>
      </c>
      <c r="N175">
        <v>0</v>
      </c>
      <c r="O175">
        <v>1</v>
      </c>
      <c r="P175">
        <v>1</v>
      </c>
      <c r="Q175">
        <v>77</v>
      </c>
      <c r="R175" t="s">
        <v>684</v>
      </c>
      <c r="S175" s="3">
        <v>3</v>
      </c>
      <c r="T175" s="3">
        <f t="shared" si="6"/>
        <v>1</v>
      </c>
      <c r="U175" t="s">
        <v>149</v>
      </c>
      <c r="V175" t="s">
        <v>379</v>
      </c>
      <c r="W175" t="s">
        <v>95</v>
      </c>
      <c r="X175">
        <v>1</v>
      </c>
      <c r="Y175" t="s">
        <v>41</v>
      </c>
      <c r="Z175" t="s">
        <v>92</v>
      </c>
      <c r="AA175" t="s">
        <v>360</v>
      </c>
      <c r="AB175" t="s">
        <v>361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 t="s">
        <v>695</v>
      </c>
      <c r="AK175" t="s">
        <v>125</v>
      </c>
      <c r="AL175" t="s">
        <v>126</v>
      </c>
      <c r="AM175" t="str">
        <f t="shared" si="7"/>
        <v>2022-2024</v>
      </c>
      <c r="AN175">
        <f t="shared" si="8"/>
        <v>2</v>
      </c>
    </row>
    <row r="176" spans="1:40" x14ac:dyDescent="0.2">
      <c r="A176">
        <v>175</v>
      </c>
      <c r="B176" t="s">
        <v>699</v>
      </c>
      <c r="C176" t="s">
        <v>1718</v>
      </c>
      <c r="D176" t="s">
        <v>248</v>
      </c>
      <c r="E176" t="s">
        <v>68</v>
      </c>
      <c r="F176" t="s">
        <v>702</v>
      </c>
      <c r="G176">
        <v>7</v>
      </c>
      <c r="H176">
        <v>2.6817059400000001</v>
      </c>
      <c r="I176" t="s">
        <v>701</v>
      </c>
      <c r="J176">
        <v>4</v>
      </c>
      <c r="K176">
        <v>1.7189233799999999</v>
      </c>
      <c r="L176">
        <v>2</v>
      </c>
      <c r="M176" t="s">
        <v>97</v>
      </c>
      <c r="N176">
        <v>1</v>
      </c>
      <c r="O176">
        <v>8</v>
      </c>
      <c r="P176">
        <v>57</v>
      </c>
      <c r="Q176">
        <v>78</v>
      </c>
      <c r="R176" t="s">
        <v>703</v>
      </c>
      <c r="T176" s="3">
        <f t="shared" si="6"/>
        <v>0</v>
      </c>
      <c r="U176" t="s">
        <v>48</v>
      </c>
      <c r="V176" t="s">
        <v>40</v>
      </c>
      <c r="W176" t="s">
        <v>1719</v>
      </c>
      <c r="X176">
        <v>0</v>
      </c>
      <c r="Y176" t="s">
        <v>40</v>
      </c>
      <c r="Z176" t="s">
        <v>40</v>
      </c>
      <c r="AA176" t="s">
        <v>360</v>
      </c>
      <c r="AB176" t="s">
        <v>361</v>
      </c>
      <c r="AC176">
        <v>2</v>
      </c>
      <c r="AD176">
        <v>1</v>
      </c>
      <c r="AE176">
        <v>1</v>
      </c>
      <c r="AF176">
        <v>0</v>
      </c>
      <c r="AG176">
        <v>0</v>
      </c>
      <c r="AH176">
        <v>0</v>
      </c>
      <c r="AI176">
        <v>0</v>
      </c>
      <c r="AJ176" t="s">
        <v>700</v>
      </c>
      <c r="AK176" t="s">
        <v>82</v>
      </c>
      <c r="AL176" t="s">
        <v>83</v>
      </c>
      <c r="AM176" t="str">
        <f t="shared" si="7"/>
        <v>2014-2016</v>
      </c>
      <c r="AN176">
        <f t="shared" si="8"/>
        <v>2</v>
      </c>
    </row>
    <row r="177" spans="1:40" x14ac:dyDescent="0.2">
      <c r="A177">
        <v>176</v>
      </c>
      <c r="B177" t="s">
        <v>704</v>
      </c>
      <c r="C177" t="s">
        <v>1718</v>
      </c>
      <c r="D177" t="s">
        <v>706</v>
      </c>
      <c r="E177" t="s">
        <v>98</v>
      </c>
      <c r="F177" t="s">
        <v>99</v>
      </c>
      <c r="G177">
        <v>14</v>
      </c>
      <c r="H177">
        <v>4.7696151100000002</v>
      </c>
      <c r="I177" t="s">
        <v>88</v>
      </c>
      <c r="J177">
        <v>16</v>
      </c>
      <c r="K177">
        <v>7.6978630399999997</v>
      </c>
      <c r="L177">
        <v>6</v>
      </c>
      <c r="M177" t="s">
        <v>119</v>
      </c>
      <c r="N177">
        <v>5</v>
      </c>
      <c r="O177">
        <v>34</v>
      </c>
      <c r="P177">
        <v>153</v>
      </c>
      <c r="Q177">
        <v>79</v>
      </c>
      <c r="R177" t="s">
        <v>707</v>
      </c>
      <c r="T177" s="3">
        <f t="shared" si="6"/>
        <v>0</v>
      </c>
      <c r="U177" t="s">
        <v>48</v>
      </c>
      <c r="V177" t="s">
        <v>40</v>
      </c>
      <c r="W177" t="s">
        <v>1719</v>
      </c>
      <c r="X177">
        <v>0</v>
      </c>
      <c r="Y177" t="s">
        <v>40</v>
      </c>
      <c r="Z177" t="s">
        <v>40</v>
      </c>
      <c r="AA177" t="s">
        <v>43</v>
      </c>
      <c r="AB177" t="s">
        <v>81</v>
      </c>
      <c r="AC177">
        <v>2</v>
      </c>
      <c r="AD177">
        <v>0</v>
      </c>
      <c r="AE177">
        <v>0</v>
      </c>
      <c r="AF177">
        <v>1</v>
      </c>
      <c r="AG177">
        <v>1</v>
      </c>
      <c r="AH177">
        <v>0</v>
      </c>
      <c r="AI177">
        <v>0</v>
      </c>
      <c r="AJ177" t="s">
        <v>705</v>
      </c>
      <c r="AK177" t="s">
        <v>193</v>
      </c>
      <c r="AL177" t="s">
        <v>194</v>
      </c>
      <c r="AM177" t="str">
        <f t="shared" si="7"/>
        <v>2018-2021</v>
      </c>
      <c r="AN177">
        <f t="shared" si="8"/>
        <v>3</v>
      </c>
    </row>
    <row r="178" spans="1:40" x14ac:dyDescent="0.2">
      <c r="A178">
        <v>177</v>
      </c>
      <c r="B178" t="s">
        <v>708</v>
      </c>
      <c r="C178" t="s">
        <v>1718</v>
      </c>
      <c r="D178" t="s">
        <v>706</v>
      </c>
      <c r="E178" t="s">
        <v>68</v>
      </c>
      <c r="F178" t="s">
        <v>711</v>
      </c>
      <c r="G178">
        <v>37</v>
      </c>
      <c r="H178">
        <v>23.312135350000009</v>
      </c>
      <c r="I178" t="s">
        <v>710</v>
      </c>
      <c r="J178">
        <v>25</v>
      </c>
      <c r="K178">
        <v>6.0561130950000006</v>
      </c>
      <c r="L178">
        <v>10</v>
      </c>
      <c r="M178" t="s">
        <v>119</v>
      </c>
      <c r="N178">
        <v>10</v>
      </c>
      <c r="O178">
        <v>56</v>
      </c>
      <c r="P178">
        <v>263</v>
      </c>
      <c r="Q178">
        <v>79</v>
      </c>
      <c r="R178" t="s">
        <v>707</v>
      </c>
      <c r="T178" s="3">
        <f t="shared" si="6"/>
        <v>0</v>
      </c>
      <c r="U178" t="s">
        <v>48</v>
      </c>
      <c r="V178" t="s">
        <v>40</v>
      </c>
      <c r="W178" t="s">
        <v>1719</v>
      </c>
      <c r="X178">
        <v>0</v>
      </c>
      <c r="Y178" t="s">
        <v>40</v>
      </c>
      <c r="Z178" t="s">
        <v>40</v>
      </c>
      <c r="AA178" t="s">
        <v>43</v>
      </c>
      <c r="AB178" t="s">
        <v>81</v>
      </c>
      <c r="AC178">
        <v>2</v>
      </c>
      <c r="AD178">
        <v>1</v>
      </c>
      <c r="AE178">
        <v>1</v>
      </c>
      <c r="AF178">
        <v>0</v>
      </c>
      <c r="AG178">
        <v>0</v>
      </c>
      <c r="AH178">
        <v>0</v>
      </c>
      <c r="AI178">
        <v>0</v>
      </c>
      <c r="AJ178" t="s">
        <v>709</v>
      </c>
      <c r="AK178" t="s">
        <v>82</v>
      </c>
      <c r="AL178" t="s">
        <v>83</v>
      </c>
      <c r="AM178" t="str">
        <f t="shared" si="7"/>
        <v>2014-2016</v>
      </c>
      <c r="AN178">
        <f t="shared" si="8"/>
        <v>2</v>
      </c>
    </row>
    <row r="179" spans="1:40" x14ac:dyDescent="0.2">
      <c r="A179">
        <v>178</v>
      </c>
      <c r="B179" t="s">
        <v>712</v>
      </c>
      <c r="C179" t="s">
        <v>1718</v>
      </c>
      <c r="D179" t="s">
        <v>706</v>
      </c>
      <c r="E179" t="s">
        <v>50</v>
      </c>
      <c r="F179" t="s">
        <v>715</v>
      </c>
      <c r="G179">
        <v>26</v>
      </c>
      <c r="H179">
        <v>16.504158409999999</v>
      </c>
      <c r="I179" t="s">
        <v>714</v>
      </c>
      <c r="J179">
        <v>15</v>
      </c>
      <c r="K179">
        <v>7.2160880700000014</v>
      </c>
      <c r="L179">
        <v>6</v>
      </c>
      <c r="M179" t="s">
        <v>119</v>
      </c>
      <c r="N179">
        <v>3</v>
      </c>
      <c r="O179">
        <v>31</v>
      </c>
      <c r="P179">
        <v>148</v>
      </c>
      <c r="Q179">
        <v>79</v>
      </c>
      <c r="R179" t="s">
        <v>707</v>
      </c>
      <c r="T179" s="3">
        <f t="shared" si="6"/>
        <v>0</v>
      </c>
      <c r="U179" t="s">
        <v>48</v>
      </c>
      <c r="V179" t="s">
        <v>40</v>
      </c>
      <c r="W179" t="s">
        <v>1719</v>
      </c>
      <c r="X179">
        <v>0</v>
      </c>
      <c r="Y179" t="s">
        <v>40</v>
      </c>
      <c r="Z179" t="s">
        <v>40</v>
      </c>
      <c r="AA179" t="s">
        <v>43</v>
      </c>
      <c r="AB179" t="s">
        <v>81</v>
      </c>
      <c r="AC179">
        <v>1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 t="s">
        <v>713</v>
      </c>
      <c r="AK179" t="s">
        <v>320</v>
      </c>
      <c r="AL179" t="s">
        <v>321</v>
      </c>
      <c r="AM179" t="str">
        <f t="shared" si="7"/>
        <v>2016-2018</v>
      </c>
      <c r="AN179">
        <f t="shared" si="8"/>
        <v>2</v>
      </c>
    </row>
    <row r="180" spans="1:40" x14ac:dyDescent="0.2">
      <c r="A180">
        <v>179</v>
      </c>
      <c r="B180" t="s">
        <v>716</v>
      </c>
      <c r="C180" t="s">
        <v>1717</v>
      </c>
      <c r="D180" t="s">
        <v>114</v>
      </c>
      <c r="E180" t="s">
        <v>50</v>
      </c>
      <c r="F180" t="s">
        <v>120</v>
      </c>
      <c r="G180">
        <v>29</v>
      </c>
      <c r="H180">
        <v>26.186001409999999</v>
      </c>
      <c r="I180" t="s">
        <v>115</v>
      </c>
      <c r="J180">
        <v>28</v>
      </c>
      <c r="K180">
        <v>8.6857931909999984</v>
      </c>
      <c r="L180">
        <v>10</v>
      </c>
      <c r="M180" t="s">
        <v>119</v>
      </c>
      <c r="N180">
        <v>10</v>
      </c>
      <c r="O180">
        <v>30</v>
      </c>
      <c r="P180">
        <v>372</v>
      </c>
      <c r="Q180">
        <v>80</v>
      </c>
      <c r="R180" t="s">
        <v>718</v>
      </c>
      <c r="T180" s="3">
        <f t="shared" si="6"/>
        <v>0</v>
      </c>
      <c r="U180" t="s">
        <v>48</v>
      </c>
      <c r="V180" t="s">
        <v>40</v>
      </c>
      <c r="W180" t="s">
        <v>1719</v>
      </c>
      <c r="X180">
        <v>0</v>
      </c>
      <c r="Y180" t="s">
        <v>40</v>
      </c>
      <c r="Z180" t="s">
        <v>40</v>
      </c>
      <c r="AA180" t="s">
        <v>63</v>
      </c>
      <c r="AB180" t="s">
        <v>64</v>
      </c>
      <c r="AC180">
        <v>1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 t="s">
        <v>717</v>
      </c>
      <c r="AK180" t="s">
        <v>93</v>
      </c>
      <c r="AL180" t="s">
        <v>94</v>
      </c>
      <c r="AM180" t="str">
        <f t="shared" si="7"/>
        <v>2020-2021</v>
      </c>
      <c r="AN180">
        <f t="shared" si="8"/>
        <v>1</v>
      </c>
    </row>
    <row r="181" spans="1:40" x14ac:dyDescent="0.2">
      <c r="A181">
        <v>180</v>
      </c>
      <c r="B181" t="s">
        <v>719</v>
      </c>
      <c r="C181" t="s">
        <v>1717</v>
      </c>
      <c r="D181" t="s">
        <v>79</v>
      </c>
      <c r="E181" t="s">
        <v>68</v>
      </c>
      <c r="F181" t="s">
        <v>111</v>
      </c>
      <c r="G181">
        <v>64</v>
      </c>
      <c r="H181">
        <v>46.71997274000001</v>
      </c>
      <c r="I181" t="s">
        <v>108</v>
      </c>
      <c r="J181">
        <v>56</v>
      </c>
      <c r="K181">
        <v>40.508590029999993</v>
      </c>
      <c r="L181">
        <v>20</v>
      </c>
      <c r="M181" t="s">
        <v>67</v>
      </c>
      <c r="N181">
        <v>30</v>
      </c>
      <c r="O181">
        <v>84</v>
      </c>
      <c r="P181">
        <v>1631</v>
      </c>
      <c r="Q181">
        <v>81</v>
      </c>
      <c r="R181" t="s">
        <v>721</v>
      </c>
      <c r="S181" s="3" t="s">
        <v>117</v>
      </c>
      <c r="T181" s="3">
        <f t="shared" si="6"/>
        <v>1</v>
      </c>
      <c r="U181" t="s">
        <v>96</v>
      </c>
      <c r="V181" t="s">
        <v>142</v>
      </c>
      <c r="W181" t="s">
        <v>95</v>
      </c>
      <c r="X181">
        <v>0</v>
      </c>
      <c r="Y181" t="s">
        <v>41</v>
      </c>
      <c r="Z181" t="s">
        <v>92</v>
      </c>
      <c r="AA181" t="s">
        <v>43</v>
      </c>
      <c r="AB181" t="s">
        <v>44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</v>
      </c>
      <c r="AJ181" t="s">
        <v>720</v>
      </c>
      <c r="AK181" t="s">
        <v>65</v>
      </c>
      <c r="AL181" t="s">
        <v>66</v>
      </c>
      <c r="AM181" t="str">
        <f t="shared" si="7"/>
        <v>2024-2027</v>
      </c>
      <c r="AN181">
        <f t="shared" si="8"/>
        <v>3</v>
      </c>
    </row>
    <row r="182" spans="1:40" x14ac:dyDescent="0.2">
      <c r="A182">
        <v>181</v>
      </c>
      <c r="B182" t="s">
        <v>722</v>
      </c>
      <c r="C182" t="s">
        <v>1717</v>
      </c>
      <c r="D182" t="s">
        <v>123</v>
      </c>
      <c r="E182" t="s">
        <v>68</v>
      </c>
      <c r="F182" t="s">
        <v>725</v>
      </c>
      <c r="G182">
        <v>2</v>
      </c>
      <c r="H182">
        <v>0.81658553999999994</v>
      </c>
      <c r="I182" t="s">
        <v>724</v>
      </c>
      <c r="J182">
        <v>2</v>
      </c>
      <c r="K182">
        <v>1.5213984</v>
      </c>
      <c r="L182">
        <v>1</v>
      </c>
      <c r="M182" t="s">
        <v>137</v>
      </c>
      <c r="N182">
        <v>0</v>
      </c>
      <c r="O182">
        <v>2</v>
      </c>
      <c r="P182">
        <v>9</v>
      </c>
      <c r="Q182">
        <v>81</v>
      </c>
      <c r="R182" t="s">
        <v>721</v>
      </c>
      <c r="S182" s="3" t="s">
        <v>117</v>
      </c>
      <c r="T182" s="3">
        <f t="shared" si="6"/>
        <v>1</v>
      </c>
      <c r="U182" t="s">
        <v>96</v>
      </c>
      <c r="V182" t="s">
        <v>142</v>
      </c>
      <c r="W182" t="s">
        <v>95</v>
      </c>
      <c r="X182">
        <v>0</v>
      </c>
      <c r="Y182" t="s">
        <v>41</v>
      </c>
      <c r="Z182" t="s">
        <v>92</v>
      </c>
      <c r="AA182" t="s">
        <v>43</v>
      </c>
      <c r="AB182" t="s">
        <v>44</v>
      </c>
      <c r="AC182">
        <v>2</v>
      </c>
      <c r="AD182">
        <v>0</v>
      </c>
      <c r="AE182">
        <v>0</v>
      </c>
      <c r="AF182">
        <v>0</v>
      </c>
      <c r="AG182">
        <v>1</v>
      </c>
      <c r="AH182">
        <v>1</v>
      </c>
      <c r="AI182">
        <v>0</v>
      </c>
      <c r="AJ182" t="s">
        <v>723</v>
      </c>
      <c r="AK182" t="s">
        <v>213</v>
      </c>
      <c r="AL182" t="s">
        <v>214</v>
      </c>
      <c r="AM182" t="str">
        <f t="shared" si="7"/>
        <v>2020-2024</v>
      </c>
      <c r="AN182">
        <f t="shared" si="8"/>
        <v>4</v>
      </c>
    </row>
    <row r="183" spans="1:40" x14ac:dyDescent="0.2">
      <c r="A183">
        <v>182</v>
      </c>
      <c r="B183" t="s">
        <v>726</v>
      </c>
      <c r="C183" t="s">
        <v>1717</v>
      </c>
      <c r="D183" t="s">
        <v>123</v>
      </c>
      <c r="E183" t="s">
        <v>98</v>
      </c>
      <c r="F183" t="s">
        <v>99</v>
      </c>
      <c r="G183">
        <v>5</v>
      </c>
      <c r="H183">
        <v>2.04987443</v>
      </c>
      <c r="I183" t="s">
        <v>88</v>
      </c>
      <c r="J183">
        <v>2</v>
      </c>
      <c r="K183">
        <v>1.14483219</v>
      </c>
      <c r="L183">
        <v>1</v>
      </c>
      <c r="M183" t="s">
        <v>137</v>
      </c>
      <c r="N183">
        <v>1</v>
      </c>
      <c r="O183">
        <v>5</v>
      </c>
      <c r="P183">
        <v>18</v>
      </c>
      <c r="Q183">
        <v>81</v>
      </c>
      <c r="R183" t="s">
        <v>721</v>
      </c>
      <c r="S183" s="3" t="s">
        <v>117</v>
      </c>
      <c r="T183" s="3">
        <f t="shared" si="6"/>
        <v>1</v>
      </c>
      <c r="U183" t="s">
        <v>96</v>
      </c>
      <c r="V183" t="s">
        <v>142</v>
      </c>
      <c r="W183" t="s">
        <v>95</v>
      </c>
      <c r="X183">
        <v>0</v>
      </c>
      <c r="Y183" t="s">
        <v>41</v>
      </c>
      <c r="Z183" t="s">
        <v>92</v>
      </c>
      <c r="AA183" t="s">
        <v>43</v>
      </c>
      <c r="AB183" t="s">
        <v>44</v>
      </c>
      <c r="AC183">
        <v>1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 t="s">
        <v>727</v>
      </c>
      <c r="AK183" t="s">
        <v>202</v>
      </c>
      <c r="AL183" t="s">
        <v>203</v>
      </c>
      <c r="AM183" t="str">
        <f t="shared" si="7"/>
        <v>2018-2020</v>
      </c>
      <c r="AN183">
        <f t="shared" si="8"/>
        <v>2</v>
      </c>
    </row>
    <row r="184" spans="1:40" x14ac:dyDescent="0.2">
      <c r="A184">
        <v>183</v>
      </c>
      <c r="B184" t="s">
        <v>728</v>
      </c>
      <c r="C184" t="s">
        <v>1717</v>
      </c>
      <c r="D184" t="s">
        <v>123</v>
      </c>
      <c r="E184" t="s">
        <v>98</v>
      </c>
      <c r="F184" t="s">
        <v>99</v>
      </c>
      <c r="G184">
        <v>3</v>
      </c>
      <c r="H184">
        <v>1.34201653</v>
      </c>
      <c r="I184" t="s">
        <v>88</v>
      </c>
      <c r="J184">
        <v>1</v>
      </c>
      <c r="K184">
        <v>0.63135839999999999</v>
      </c>
      <c r="L184">
        <v>1</v>
      </c>
      <c r="M184" t="s">
        <v>137</v>
      </c>
      <c r="N184">
        <v>0</v>
      </c>
      <c r="O184">
        <v>3</v>
      </c>
      <c r="P184">
        <v>1</v>
      </c>
      <c r="Q184">
        <v>82</v>
      </c>
      <c r="R184" t="s">
        <v>730</v>
      </c>
      <c r="S184" s="3">
        <v>3</v>
      </c>
      <c r="T184" s="3">
        <f t="shared" si="6"/>
        <v>1</v>
      </c>
      <c r="U184" t="s">
        <v>149</v>
      </c>
      <c r="V184" t="s">
        <v>142</v>
      </c>
      <c r="W184" t="s">
        <v>162</v>
      </c>
      <c r="X184">
        <v>0</v>
      </c>
      <c r="Y184" t="s">
        <v>143</v>
      </c>
      <c r="Z184" t="s">
        <v>167</v>
      </c>
      <c r="AA184" t="s">
        <v>43</v>
      </c>
      <c r="AB184" t="s">
        <v>81</v>
      </c>
      <c r="AC184">
        <v>1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 t="s">
        <v>729</v>
      </c>
      <c r="AK184" t="s">
        <v>202</v>
      </c>
      <c r="AL184" t="s">
        <v>203</v>
      </c>
      <c r="AM184" t="str">
        <f t="shared" si="7"/>
        <v>2018-2020</v>
      </c>
      <c r="AN184">
        <f t="shared" si="8"/>
        <v>2</v>
      </c>
    </row>
    <row r="185" spans="1:40" x14ac:dyDescent="0.2">
      <c r="A185">
        <v>184</v>
      </c>
      <c r="B185" t="s">
        <v>731</v>
      </c>
      <c r="C185" t="s">
        <v>1717</v>
      </c>
      <c r="D185" t="s">
        <v>123</v>
      </c>
      <c r="E185" t="s">
        <v>68</v>
      </c>
      <c r="F185" t="s">
        <v>509</v>
      </c>
      <c r="G185">
        <v>36</v>
      </c>
      <c r="H185">
        <v>21.667889840000001</v>
      </c>
      <c r="I185" t="s">
        <v>507</v>
      </c>
      <c r="J185">
        <v>20</v>
      </c>
      <c r="K185">
        <v>7.7318525299999994</v>
      </c>
      <c r="L185">
        <v>8</v>
      </c>
      <c r="M185" t="s">
        <v>119</v>
      </c>
      <c r="N185">
        <v>8</v>
      </c>
      <c r="O185">
        <v>38</v>
      </c>
      <c r="P185">
        <v>307</v>
      </c>
      <c r="Q185">
        <v>83</v>
      </c>
      <c r="R185" t="s">
        <v>733</v>
      </c>
      <c r="T185" s="3">
        <f t="shared" si="6"/>
        <v>0</v>
      </c>
      <c r="U185" t="s">
        <v>48</v>
      </c>
      <c r="V185" t="s">
        <v>40</v>
      </c>
      <c r="W185" t="s">
        <v>1719</v>
      </c>
      <c r="X185">
        <v>0</v>
      </c>
      <c r="Y185" t="s">
        <v>40</v>
      </c>
      <c r="Z185" t="s">
        <v>40</v>
      </c>
      <c r="AA185" t="s">
        <v>43</v>
      </c>
      <c r="AB185" t="s">
        <v>44</v>
      </c>
      <c r="AC185">
        <v>2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1</v>
      </c>
      <c r="AJ185" t="s">
        <v>732</v>
      </c>
      <c r="AK185" t="s">
        <v>55</v>
      </c>
      <c r="AL185" t="s">
        <v>56</v>
      </c>
      <c r="AM185" t="str">
        <f t="shared" si="7"/>
        <v>2022-2027</v>
      </c>
      <c r="AN185">
        <f t="shared" si="8"/>
        <v>5</v>
      </c>
    </row>
    <row r="186" spans="1:40" x14ac:dyDescent="0.2">
      <c r="A186">
        <v>185</v>
      </c>
      <c r="B186" t="s">
        <v>734</v>
      </c>
      <c r="C186" t="s">
        <v>1717</v>
      </c>
      <c r="D186" t="s">
        <v>37</v>
      </c>
      <c r="E186" t="s">
        <v>68</v>
      </c>
      <c r="F186" t="s">
        <v>737</v>
      </c>
      <c r="G186">
        <v>112</v>
      </c>
      <c r="H186">
        <v>22.610110389999999</v>
      </c>
      <c r="I186" t="s">
        <v>736</v>
      </c>
      <c r="J186">
        <v>92</v>
      </c>
      <c r="K186">
        <v>42.202265199999999</v>
      </c>
      <c r="L186">
        <v>16</v>
      </c>
      <c r="M186" t="s">
        <v>67</v>
      </c>
      <c r="N186">
        <v>31</v>
      </c>
      <c r="O186">
        <v>132</v>
      </c>
      <c r="P186">
        <v>807</v>
      </c>
      <c r="Q186">
        <v>84</v>
      </c>
      <c r="R186" t="s">
        <v>738</v>
      </c>
      <c r="T186" s="3">
        <f t="shared" si="6"/>
        <v>0</v>
      </c>
      <c r="U186" t="s">
        <v>48</v>
      </c>
      <c r="V186" t="s">
        <v>40</v>
      </c>
      <c r="W186" t="s">
        <v>1719</v>
      </c>
      <c r="X186">
        <v>0</v>
      </c>
      <c r="Y186" t="s">
        <v>40</v>
      </c>
      <c r="Z186" t="s">
        <v>40</v>
      </c>
      <c r="AA186" t="s">
        <v>43</v>
      </c>
      <c r="AB186" t="s">
        <v>44</v>
      </c>
      <c r="AC186">
        <v>2</v>
      </c>
      <c r="AD186">
        <v>0</v>
      </c>
      <c r="AE186">
        <v>0</v>
      </c>
      <c r="AF186">
        <v>1</v>
      </c>
      <c r="AG186">
        <v>1</v>
      </c>
      <c r="AH186">
        <v>0</v>
      </c>
      <c r="AI186">
        <v>0</v>
      </c>
      <c r="AJ186" t="s">
        <v>735</v>
      </c>
      <c r="AK186" t="s">
        <v>193</v>
      </c>
      <c r="AL186" t="s">
        <v>194</v>
      </c>
      <c r="AM186" t="str">
        <f t="shared" si="7"/>
        <v>2018-2021</v>
      </c>
      <c r="AN186">
        <f t="shared" si="8"/>
        <v>3</v>
      </c>
    </row>
    <row r="187" spans="1:40" x14ac:dyDescent="0.2">
      <c r="A187">
        <v>186</v>
      </c>
      <c r="B187" t="s">
        <v>739</v>
      </c>
      <c r="C187" t="s">
        <v>1717</v>
      </c>
      <c r="D187" t="s">
        <v>114</v>
      </c>
      <c r="E187" t="s">
        <v>50</v>
      </c>
      <c r="F187" t="s">
        <v>120</v>
      </c>
      <c r="G187">
        <v>35</v>
      </c>
      <c r="H187">
        <v>12.65204887</v>
      </c>
      <c r="I187" t="s">
        <v>115</v>
      </c>
      <c r="J187">
        <v>17</v>
      </c>
      <c r="K187">
        <v>2.7037684569999998</v>
      </c>
      <c r="L187">
        <v>12</v>
      </c>
      <c r="M187" t="s">
        <v>67</v>
      </c>
      <c r="N187">
        <v>15</v>
      </c>
      <c r="O187">
        <v>49</v>
      </c>
      <c r="P187">
        <v>608</v>
      </c>
      <c r="Q187">
        <v>85</v>
      </c>
      <c r="R187" t="s">
        <v>741</v>
      </c>
      <c r="T187" s="3">
        <f t="shared" si="6"/>
        <v>0</v>
      </c>
      <c r="U187" t="s">
        <v>48</v>
      </c>
      <c r="V187" t="s">
        <v>40</v>
      </c>
      <c r="W187" t="s">
        <v>1719</v>
      </c>
      <c r="X187">
        <v>0</v>
      </c>
      <c r="Y187" t="s">
        <v>40</v>
      </c>
      <c r="Z187" t="s">
        <v>40</v>
      </c>
      <c r="AA187" t="s">
        <v>360</v>
      </c>
      <c r="AB187" t="s">
        <v>361</v>
      </c>
      <c r="AC187">
        <v>2</v>
      </c>
      <c r="AD187">
        <v>0</v>
      </c>
      <c r="AE187">
        <v>0</v>
      </c>
      <c r="AF187">
        <v>0</v>
      </c>
      <c r="AG187">
        <v>1</v>
      </c>
      <c r="AH187">
        <v>1</v>
      </c>
      <c r="AI187">
        <v>0</v>
      </c>
      <c r="AJ187" t="s">
        <v>740</v>
      </c>
      <c r="AK187" t="s">
        <v>213</v>
      </c>
      <c r="AL187" t="s">
        <v>214</v>
      </c>
      <c r="AM187" t="str">
        <f t="shared" si="7"/>
        <v>2020-2024</v>
      </c>
      <c r="AN187">
        <f t="shared" si="8"/>
        <v>4</v>
      </c>
    </row>
    <row r="188" spans="1:40" x14ac:dyDescent="0.2">
      <c r="A188">
        <v>187</v>
      </c>
      <c r="B188" t="s">
        <v>742</v>
      </c>
      <c r="C188" t="s">
        <v>1718</v>
      </c>
      <c r="D188" t="s">
        <v>72</v>
      </c>
      <c r="E188" t="s">
        <v>50</v>
      </c>
      <c r="F188" t="s">
        <v>76</v>
      </c>
      <c r="G188">
        <v>65</v>
      </c>
      <c r="H188">
        <v>21.278223957000009</v>
      </c>
      <c r="I188" t="s">
        <v>73</v>
      </c>
      <c r="J188">
        <v>45</v>
      </c>
      <c r="K188">
        <v>12.248904749999999</v>
      </c>
      <c r="L188">
        <v>22</v>
      </c>
      <c r="M188" t="s">
        <v>49</v>
      </c>
      <c r="N188">
        <v>42</v>
      </c>
      <c r="O188">
        <v>79</v>
      </c>
      <c r="P188">
        <v>1372</v>
      </c>
      <c r="Q188">
        <v>85</v>
      </c>
      <c r="R188" t="s">
        <v>741</v>
      </c>
      <c r="T188" s="3">
        <f t="shared" si="6"/>
        <v>0</v>
      </c>
      <c r="U188" t="s">
        <v>48</v>
      </c>
      <c r="V188" t="s">
        <v>40</v>
      </c>
      <c r="W188" t="s">
        <v>1719</v>
      </c>
      <c r="X188">
        <v>0</v>
      </c>
      <c r="Y188" t="s">
        <v>40</v>
      </c>
      <c r="Z188" t="s">
        <v>40</v>
      </c>
      <c r="AA188" t="s">
        <v>360</v>
      </c>
      <c r="AB188" t="s">
        <v>361</v>
      </c>
      <c r="AC188">
        <v>1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 t="s">
        <v>743</v>
      </c>
      <c r="AK188" t="s">
        <v>202</v>
      </c>
      <c r="AL188" t="s">
        <v>203</v>
      </c>
      <c r="AM188" t="str">
        <f t="shared" si="7"/>
        <v>2018-2020</v>
      </c>
      <c r="AN188">
        <f t="shared" si="8"/>
        <v>2</v>
      </c>
    </row>
    <row r="189" spans="1:40" x14ac:dyDescent="0.2">
      <c r="A189">
        <v>188</v>
      </c>
      <c r="B189" t="s">
        <v>744</v>
      </c>
      <c r="C189" t="s">
        <v>1717</v>
      </c>
      <c r="D189" t="s">
        <v>123</v>
      </c>
      <c r="E189" t="s">
        <v>476</v>
      </c>
      <c r="F189" t="s">
        <v>747</v>
      </c>
      <c r="G189">
        <v>7</v>
      </c>
      <c r="H189">
        <v>4.4601870300000002</v>
      </c>
      <c r="I189" t="s">
        <v>746</v>
      </c>
      <c r="J189">
        <v>5</v>
      </c>
      <c r="K189">
        <v>2.3763650699999999</v>
      </c>
      <c r="L189">
        <v>3</v>
      </c>
      <c r="M189" t="s">
        <v>97</v>
      </c>
      <c r="N189">
        <v>0</v>
      </c>
      <c r="O189">
        <v>7</v>
      </c>
      <c r="P189">
        <v>14</v>
      </c>
      <c r="Q189">
        <v>86</v>
      </c>
      <c r="R189" t="s">
        <v>748</v>
      </c>
      <c r="T189" s="3">
        <f t="shared" si="6"/>
        <v>0</v>
      </c>
      <c r="U189" t="s">
        <v>48</v>
      </c>
      <c r="V189" t="s">
        <v>40</v>
      </c>
      <c r="W189" t="s">
        <v>1719</v>
      </c>
      <c r="X189">
        <v>0</v>
      </c>
      <c r="Y189" t="s">
        <v>40</v>
      </c>
      <c r="Z189" t="s">
        <v>40</v>
      </c>
      <c r="AA189" t="s">
        <v>43</v>
      </c>
      <c r="AB189" t="s">
        <v>81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 t="s">
        <v>745</v>
      </c>
      <c r="AK189" t="s">
        <v>65</v>
      </c>
      <c r="AL189" t="s">
        <v>66</v>
      </c>
      <c r="AM189" t="str">
        <f t="shared" si="7"/>
        <v>2024-2027</v>
      </c>
      <c r="AN189">
        <f t="shared" si="8"/>
        <v>3</v>
      </c>
    </row>
    <row r="190" spans="1:40" x14ac:dyDescent="0.2">
      <c r="A190">
        <v>189</v>
      </c>
      <c r="B190" t="s">
        <v>749</v>
      </c>
      <c r="C190" t="s">
        <v>1717</v>
      </c>
      <c r="D190" t="s">
        <v>60</v>
      </c>
      <c r="E190" t="s">
        <v>68</v>
      </c>
      <c r="F190" t="s">
        <v>755</v>
      </c>
      <c r="G190">
        <v>78</v>
      </c>
      <c r="H190">
        <v>32.257023730999983</v>
      </c>
      <c r="I190" t="s">
        <v>751</v>
      </c>
      <c r="J190">
        <v>50</v>
      </c>
      <c r="K190">
        <v>16.385227929999999</v>
      </c>
      <c r="L190">
        <v>22</v>
      </c>
      <c r="M190" t="s">
        <v>49</v>
      </c>
      <c r="N190">
        <v>35</v>
      </c>
      <c r="O190">
        <v>119</v>
      </c>
      <c r="P190">
        <v>1913</v>
      </c>
      <c r="Q190">
        <v>87</v>
      </c>
      <c r="R190" t="s">
        <v>752</v>
      </c>
      <c r="T190" s="3">
        <f t="shared" si="6"/>
        <v>0</v>
      </c>
      <c r="U190" t="s">
        <v>48</v>
      </c>
      <c r="V190" t="s">
        <v>359</v>
      </c>
      <c r="W190" t="s">
        <v>47</v>
      </c>
      <c r="X190">
        <v>0</v>
      </c>
      <c r="Y190" t="s">
        <v>359</v>
      </c>
      <c r="Z190" t="s">
        <v>359</v>
      </c>
      <c r="AA190" t="s">
        <v>63</v>
      </c>
      <c r="AB190" t="s">
        <v>602</v>
      </c>
      <c r="AC190">
        <v>2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1</v>
      </c>
      <c r="AJ190" t="s">
        <v>750</v>
      </c>
      <c r="AK190" t="s">
        <v>753</v>
      </c>
      <c r="AL190" t="s">
        <v>754</v>
      </c>
      <c r="AM190" t="str">
        <f t="shared" si="7"/>
        <v>2020-2027</v>
      </c>
      <c r="AN190">
        <f t="shared" si="8"/>
        <v>7</v>
      </c>
    </row>
    <row r="191" spans="1:40" x14ac:dyDescent="0.2">
      <c r="A191">
        <v>190</v>
      </c>
      <c r="B191" t="s">
        <v>756</v>
      </c>
      <c r="C191" t="s">
        <v>1717</v>
      </c>
      <c r="D191" t="s">
        <v>37</v>
      </c>
      <c r="E191" t="s">
        <v>68</v>
      </c>
      <c r="F191" t="s">
        <v>759</v>
      </c>
      <c r="G191">
        <v>5</v>
      </c>
      <c r="H191">
        <v>1.3813010999999999</v>
      </c>
      <c r="I191" t="s">
        <v>758</v>
      </c>
      <c r="J191">
        <v>3</v>
      </c>
      <c r="K191">
        <v>1.9628041000000001</v>
      </c>
      <c r="L191">
        <v>1</v>
      </c>
      <c r="M191" t="s">
        <v>137</v>
      </c>
      <c r="N191">
        <v>0</v>
      </c>
      <c r="O191">
        <v>8</v>
      </c>
      <c r="P191">
        <v>5</v>
      </c>
      <c r="Q191">
        <v>88</v>
      </c>
      <c r="R191" t="s">
        <v>760</v>
      </c>
      <c r="T191" s="3">
        <f t="shared" si="6"/>
        <v>0</v>
      </c>
      <c r="U191" t="s">
        <v>48</v>
      </c>
      <c r="V191" t="s">
        <v>40</v>
      </c>
      <c r="W191" t="s">
        <v>1719</v>
      </c>
      <c r="X191">
        <v>0</v>
      </c>
      <c r="Y191" t="s">
        <v>42</v>
      </c>
      <c r="Z191" t="s">
        <v>40</v>
      </c>
      <c r="AA191" t="s">
        <v>43</v>
      </c>
      <c r="AB191" t="s">
        <v>44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 t="s">
        <v>757</v>
      </c>
      <c r="AK191" t="s">
        <v>65</v>
      </c>
      <c r="AL191" t="s">
        <v>66</v>
      </c>
      <c r="AM191" t="str">
        <f t="shared" si="7"/>
        <v>2024-2027</v>
      </c>
      <c r="AN191">
        <f t="shared" si="8"/>
        <v>3</v>
      </c>
    </row>
    <row r="192" spans="1:40" x14ac:dyDescent="0.2">
      <c r="A192">
        <v>191</v>
      </c>
      <c r="B192" t="s">
        <v>761</v>
      </c>
      <c r="C192" t="s">
        <v>1718</v>
      </c>
      <c r="D192" t="s">
        <v>114</v>
      </c>
      <c r="E192" t="s">
        <v>68</v>
      </c>
      <c r="F192" t="s">
        <v>471</v>
      </c>
      <c r="G192">
        <v>20</v>
      </c>
      <c r="H192">
        <v>9.9579622300000032</v>
      </c>
      <c r="I192" t="s">
        <v>470</v>
      </c>
      <c r="J192">
        <v>10</v>
      </c>
      <c r="K192">
        <v>3.577443000000001</v>
      </c>
      <c r="L192">
        <v>7</v>
      </c>
      <c r="M192" t="s">
        <v>119</v>
      </c>
      <c r="N192">
        <v>7</v>
      </c>
      <c r="O192">
        <v>24</v>
      </c>
      <c r="P192">
        <v>606</v>
      </c>
      <c r="Q192">
        <v>89</v>
      </c>
      <c r="R192" t="s">
        <v>763</v>
      </c>
      <c r="S192" s="3" t="s">
        <v>90</v>
      </c>
      <c r="T192" s="3">
        <f t="shared" si="6"/>
        <v>1</v>
      </c>
      <c r="U192" t="s">
        <v>96</v>
      </c>
      <c r="V192" t="s">
        <v>142</v>
      </c>
      <c r="W192" t="s">
        <v>148</v>
      </c>
      <c r="X192">
        <v>0</v>
      </c>
      <c r="Y192" t="s">
        <v>143</v>
      </c>
      <c r="Z192" t="s">
        <v>144</v>
      </c>
      <c r="AA192" t="s">
        <v>43</v>
      </c>
      <c r="AB192" t="s">
        <v>81</v>
      </c>
      <c r="AC192">
        <v>4</v>
      </c>
      <c r="AD192">
        <v>0</v>
      </c>
      <c r="AE192">
        <v>0</v>
      </c>
      <c r="AF192">
        <v>1</v>
      </c>
      <c r="AG192">
        <v>1</v>
      </c>
      <c r="AH192">
        <v>1</v>
      </c>
      <c r="AI192">
        <v>1</v>
      </c>
      <c r="AJ192" t="s">
        <v>762</v>
      </c>
      <c r="AK192" t="s">
        <v>146</v>
      </c>
      <c r="AL192" t="s">
        <v>147</v>
      </c>
      <c r="AM192" t="str">
        <f t="shared" si="7"/>
        <v>2018-2027</v>
      </c>
      <c r="AN192">
        <f t="shared" si="8"/>
        <v>9</v>
      </c>
    </row>
    <row r="193" spans="1:40" x14ac:dyDescent="0.2">
      <c r="A193">
        <v>192</v>
      </c>
      <c r="B193" t="s">
        <v>764</v>
      </c>
      <c r="C193" t="s">
        <v>1718</v>
      </c>
      <c r="D193" t="s">
        <v>441</v>
      </c>
      <c r="E193" t="s">
        <v>68</v>
      </c>
      <c r="F193" t="s">
        <v>362</v>
      </c>
      <c r="G193">
        <v>19</v>
      </c>
      <c r="H193">
        <v>8.5792870000000008</v>
      </c>
      <c r="I193" t="s">
        <v>357</v>
      </c>
      <c r="J193">
        <v>11</v>
      </c>
      <c r="K193">
        <v>1.506767706</v>
      </c>
      <c r="L193">
        <v>6</v>
      </c>
      <c r="M193" t="s">
        <v>119</v>
      </c>
      <c r="N193">
        <v>2</v>
      </c>
      <c r="O193">
        <v>27</v>
      </c>
      <c r="P193">
        <v>80</v>
      </c>
      <c r="Q193">
        <v>89</v>
      </c>
      <c r="R193" t="s">
        <v>763</v>
      </c>
      <c r="S193" s="3" t="s">
        <v>90</v>
      </c>
      <c r="T193" s="3">
        <f t="shared" si="6"/>
        <v>1</v>
      </c>
      <c r="U193" t="s">
        <v>96</v>
      </c>
      <c r="V193" t="s">
        <v>142</v>
      </c>
      <c r="W193" t="s">
        <v>148</v>
      </c>
      <c r="X193">
        <v>0</v>
      </c>
      <c r="Y193" t="s">
        <v>143</v>
      </c>
      <c r="Z193" t="s">
        <v>144</v>
      </c>
      <c r="AA193" t="s">
        <v>43</v>
      </c>
      <c r="AB193" t="s">
        <v>81</v>
      </c>
      <c r="AC193">
        <v>2</v>
      </c>
      <c r="AD193">
        <v>1</v>
      </c>
      <c r="AE193">
        <v>1</v>
      </c>
      <c r="AF193">
        <v>0</v>
      </c>
      <c r="AG193">
        <v>0</v>
      </c>
      <c r="AH193">
        <v>0</v>
      </c>
      <c r="AI193">
        <v>0</v>
      </c>
      <c r="AJ193" t="s">
        <v>765</v>
      </c>
      <c r="AK193" t="s">
        <v>74</v>
      </c>
      <c r="AL193" t="s">
        <v>75</v>
      </c>
      <c r="AM193" t="str">
        <f t="shared" si="7"/>
        <v>2014-2018</v>
      </c>
      <c r="AN193">
        <f t="shared" si="8"/>
        <v>4</v>
      </c>
    </row>
    <row r="194" spans="1:40" x14ac:dyDescent="0.2">
      <c r="A194">
        <v>193</v>
      </c>
      <c r="B194" t="s">
        <v>766</v>
      </c>
      <c r="C194" t="s">
        <v>1718</v>
      </c>
      <c r="D194" t="s">
        <v>72</v>
      </c>
      <c r="E194" t="s">
        <v>68</v>
      </c>
      <c r="F194" t="s">
        <v>282</v>
      </c>
      <c r="G194">
        <v>47</v>
      </c>
      <c r="H194">
        <v>21.24802536</v>
      </c>
      <c r="I194" t="s">
        <v>281</v>
      </c>
      <c r="J194">
        <v>31</v>
      </c>
      <c r="K194">
        <v>15.934259689999999</v>
      </c>
      <c r="L194">
        <v>9</v>
      </c>
      <c r="M194" t="s">
        <v>119</v>
      </c>
      <c r="N194">
        <v>9</v>
      </c>
      <c r="O194">
        <v>54</v>
      </c>
      <c r="P194">
        <v>211</v>
      </c>
      <c r="Q194">
        <v>90</v>
      </c>
      <c r="R194" t="s">
        <v>768</v>
      </c>
      <c r="S194" s="3" t="s">
        <v>141</v>
      </c>
      <c r="T194" s="3">
        <f t="shared" si="6"/>
        <v>1</v>
      </c>
      <c r="U194" t="s">
        <v>149</v>
      </c>
      <c r="V194" t="s">
        <v>142</v>
      </c>
      <c r="W194" t="s">
        <v>148</v>
      </c>
      <c r="X194">
        <v>0</v>
      </c>
      <c r="Y194" t="s">
        <v>143</v>
      </c>
      <c r="Z194" t="s">
        <v>144</v>
      </c>
      <c r="AA194" t="s">
        <v>191</v>
      </c>
      <c r="AB194" t="s">
        <v>297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 t="s">
        <v>767</v>
      </c>
      <c r="AK194" t="s">
        <v>65</v>
      </c>
      <c r="AL194" t="s">
        <v>66</v>
      </c>
      <c r="AM194" t="str">
        <f t="shared" si="7"/>
        <v>2024-2027</v>
      </c>
      <c r="AN194">
        <f t="shared" si="8"/>
        <v>3</v>
      </c>
    </row>
    <row r="195" spans="1:40" x14ac:dyDescent="0.2">
      <c r="A195">
        <v>194</v>
      </c>
      <c r="B195" t="s">
        <v>769</v>
      </c>
      <c r="C195" t="s">
        <v>1717</v>
      </c>
      <c r="D195" t="s">
        <v>186</v>
      </c>
      <c r="E195" t="s">
        <v>98</v>
      </c>
      <c r="F195" t="s">
        <v>99</v>
      </c>
      <c r="G195">
        <v>33</v>
      </c>
      <c r="H195">
        <v>14.68302227</v>
      </c>
      <c r="I195" t="s">
        <v>88</v>
      </c>
      <c r="J195">
        <v>32</v>
      </c>
      <c r="K195">
        <v>18.378247779999999</v>
      </c>
      <c r="L195">
        <v>9</v>
      </c>
      <c r="M195" t="s">
        <v>119</v>
      </c>
      <c r="N195">
        <v>9</v>
      </c>
      <c r="O195">
        <v>68</v>
      </c>
      <c r="P195">
        <v>704</v>
      </c>
      <c r="Q195">
        <v>91</v>
      </c>
      <c r="R195" t="s">
        <v>771</v>
      </c>
      <c r="S195" s="3" t="s">
        <v>90</v>
      </c>
      <c r="T195" s="3">
        <f t="shared" ref="T195:T258" si="9">IF(OR(S195="Sem IGC", ISBLANK(S195)), 0, 1)</f>
        <v>1</v>
      </c>
      <c r="U195" t="s">
        <v>96</v>
      </c>
      <c r="V195" t="s">
        <v>142</v>
      </c>
      <c r="W195" t="s">
        <v>148</v>
      </c>
      <c r="X195">
        <v>0</v>
      </c>
      <c r="Y195" t="s">
        <v>143</v>
      </c>
      <c r="Z195" t="s">
        <v>144</v>
      </c>
      <c r="AA195" t="s">
        <v>43</v>
      </c>
      <c r="AB195" t="s">
        <v>81</v>
      </c>
      <c r="AC195">
        <v>1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 t="s">
        <v>770</v>
      </c>
      <c r="AK195" t="s">
        <v>202</v>
      </c>
      <c r="AL195" t="s">
        <v>203</v>
      </c>
      <c r="AM195" t="str">
        <f t="shared" ref="AM195:AM258" si="10">LEFT(AL195,4) &amp; "-" &amp; RIGHT(AL195,4)</f>
        <v>2018-2020</v>
      </c>
      <c r="AN195">
        <f t="shared" ref="AN195:AN258" si="11">VALUE(RIGHT(AL195,4)) - VALUE(LEFT(AL195,4))</f>
        <v>2</v>
      </c>
    </row>
    <row r="196" spans="1:40" x14ac:dyDescent="0.2">
      <c r="A196">
        <v>195</v>
      </c>
      <c r="B196" t="s">
        <v>772</v>
      </c>
      <c r="C196" t="s">
        <v>1718</v>
      </c>
      <c r="D196" t="s">
        <v>186</v>
      </c>
      <c r="E196" t="s">
        <v>68</v>
      </c>
      <c r="F196" t="s">
        <v>777</v>
      </c>
      <c r="G196">
        <v>2</v>
      </c>
      <c r="H196">
        <v>1.0080766699999999</v>
      </c>
      <c r="I196" t="s">
        <v>774</v>
      </c>
      <c r="J196">
        <v>2</v>
      </c>
      <c r="K196">
        <v>0.89848205000000003</v>
      </c>
      <c r="L196">
        <v>1</v>
      </c>
      <c r="M196" t="s">
        <v>137</v>
      </c>
      <c r="N196">
        <v>0</v>
      </c>
      <c r="O196">
        <v>2</v>
      </c>
      <c r="P196">
        <v>4</v>
      </c>
      <c r="Q196">
        <v>92</v>
      </c>
      <c r="R196" t="s">
        <v>778</v>
      </c>
      <c r="S196" s="3" t="s">
        <v>90</v>
      </c>
      <c r="T196" s="3">
        <f t="shared" si="9"/>
        <v>1</v>
      </c>
      <c r="U196" t="s">
        <v>96</v>
      </c>
      <c r="V196" t="s">
        <v>142</v>
      </c>
      <c r="W196" t="s">
        <v>148</v>
      </c>
      <c r="X196">
        <v>0</v>
      </c>
      <c r="Y196" t="s">
        <v>143</v>
      </c>
      <c r="Z196" t="s">
        <v>144</v>
      </c>
      <c r="AA196" t="s">
        <v>224</v>
      </c>
      <c r="AB196" t="s">
        <v>225</v>
      </c>
      <c r="AC196">
        <v>6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 t="s">
        <v>773</v>
      </c>
      <c r="AK196" t="s">
        <v>775</v>
      </c>
      <c r="AL196" t="s">
        <v>776</v>
      </c>
      <c r="AM196" t="str">
        <f t="shared" si="10"/>
        <v>2014-2027</v>
      </c>
      <c r="AN196">
        <f t="shared" si="11"/>
        <v>13</v>
      </c>
    </row>
    <row r="197" spans="1:40" x14ac:dyDescent="0.2">
      <c r="A197">
        <v>196</v>
      </c>
      <c r="B197" t="s">
        <v>779</v>
      </c>
      <c r="C197" t="s">
        <v>1718</v>
      </c>
      <c r="D197" t="s">
        <v>72</v>
      </c>
      <c r="E197" t="s">
        <v>68</v>
      </c>
      <c r="F197" t="s">
        <v>502</v>
      </c>
      <c r="G197">
        <v>56</v>
      </c>
      <c r="H197">
        <v>36.463236369999997</v>
      </c>
      <c r="I197" t="s">
        <v>501</v>
      </c>
      <c r="J197">
        <v>39</v>
      </c>
      <c r="K197">
        <v>14.48425239</v>
      </c>
      <c r="L197">
        <v>22</v>
      </c>
      <c r="M197" t="s">
        <v>49</v>
      </c>
      <c r="N197">
        <v>32</v>
      </c>
      <c r="O197">
        <v>58</v>
      </c>
      <c r="P197">
        <v>3194</v>
      </c>
      <c r="Q197">
        <v>93</v>
      </c>
      <c r="R197" t="s">
        <v>781</v>
      </c>
      <c r="T197" s="3">
        <f t="shared" si="9"/>
        <v>0</v>
      </c>
      <c r="U197" t="s">
        <v>48</v>
      </c>
      <c r="V197" t="s">
        <v>782</v>
      </c>
      <c r="W197" t="s">
        <v>47</v>
      </c>
      <c r="X197">
        <v>0</v>
      </c>
      <c r="Y197" t="s">
        <v>42</v>
      </c>
      <c r="Z197" t="s">
        <v>782</v>
      </c>
      <c r="AA197" t="s">
        <v>224</v>
      </c>
      <c r="AB197" t="s">
        <v>234</v>
      </c>
      <c r="AC197">
        <v>3</v>
      </c>
      <c r="AD197">
        <v>0</v>
      </c>
      <c r="AE197">
        <v>0</v>
      </c>
      <c r="AF197">
        <v>0</v>
      </c>
      <c r="AG197">
        <v>1</v>
      </c>
      <c r="AH197">
        <v>1</v>
      </c>
      <c r="AI197">
        <v>1</v>
      </c>
      <c r="AJ197" t="s">
        <v>780</v>
      </c>
      <c r="AK197" t="s">
        <v>269</v>
      </c>
      <c r="AL197" t="s">
        <v>270</v>
      </c>
      <c r="AM197" t="str">
        <f t="shared" si="10"/>
        <v>2020-2027</v>
      </c>
      <c r="AN197">
        <f t="shared" si="11"/>
        <v>7</v>
      </c>
    </row>
    <row r="198" spans="1:40" x14ac:dyDescent="0.2">
      <c r="A198">
        <v>197</v>
      </c>
      <c r="B198" t="s">
        <v>783</v>
      </c>
      <c r="C198" t="s">
        <v>1718</v>
      </c>
      <c r="D198" t="s">
        <v>186</v>
      </c>
      <c r="E198" t="s">
        <v>98</v>
      </c>
      <c r="F198" t="s">
        <v>99</v>
      </c>
      <c r="G198">
        <v>27</v>
      </c>
      <c r="H198">
        <v>9.7801047600000004</v>
      </c>
      <c r="I198" t="s">
        <v>88</v>
      </c>
      <c r="J198">
        <v>33</v>
      </c>
      <c r="K198">
        <v>18.139209829999999</v>
      </c>
      <c r="L198">
        <v>5</v>
      </c>
      <c r="M198" t="s">
        <v>119</v>
      </c>
      <c r="N198">
        <v>3</v>
      </c>
      <c r="O198">
        <v>46</v>
      </c>
      <c r="P198">
        <v>83</v>
      </c>
      <c r="Q198">
        <v>94</v>
      </c>
      <c r="R198" t="s">
        <v>785</v>
      </c>
      <c r="S198" s="3">
        <v>3</v>
      </c>
      <c r="T198" s="3">
        <f t="shared" si="9"/>
        <v>1</v>
      </c>
      <c r="U198" t="s">
        <v>149</v>
      </c>
      <c r="V198" t="s">
        <v>142</v>
      </c>
      <c r="W198" t="s">
        <v>195</v>
      </c>
      <c r="X198">
        <v>0</v>
      </c>
      <c r="Y198" t="s">
        <v>143</v>
      </c>
      <c r="Z198" t="s">
        <v>190</v>
      </c>
      <c r="AA198" t="s">
        <v>191</v>
      </c>
      <c r="AB198" t="s">
        <v>457</v>
      </c>
      <c r="AC198">
        <v>2</v>
      </c>
      <c r="AD198">
        <v>0</v>
      </c>
      <c r="AE198">
        <v>0</v>
      </c>
      <c r="AF198">
        <v>0</v>
      </c>
      <c r="AG198">
        <v>1</v>
      </c>
      <c r="AH198">
        <v>1</v>
      </c>
      <c r="AI198">
        <v>0</v>
      </c>
      <c r="AJ198" t="s">
        <v>784</v>
      </c>
      <c r="AK198" t="s">
        <v>213</v>
      </c>
      <c r="AL198" t="s">
        <v>214</v>
      </c>
      <c r="AM198" t="str">
        <f t="shared" si="10"/>
        <v>2020-2024</v>
      </c>
      <c r="AN198">
        <f t="shared" si="11"/>
        <v>4</v>
      </c>
    </row>
    <row r="199" spans="1:40" x14ac:dyDescent="0.2">
      <c r="A199">
        <v>198</v>
      </c>
      <c r="B199" t="s">
        <v>786</v>
      </c>
      <c r="C199" t="s">
        <v>1718</v>
      </c>
      <c r="D199" t="s">
        <v>72</v>
      </c>
      <c r="E199" t="s">
        <v>68</v>
      </c>
      <c r="F199" t="s">
        <v>386</v>
      </c>
      <c r="G199">
        <v>44</v>
      </c>
      <c r="H199">
        <v>14.784553656</v>
      </c>
      <c r="I199" t="s">
        <v>385</v>
      </c>
      <c r="J199">
        <v>29</v>
      </c>
      <c r="K199">
        <v>15.44408778</v>
      </c>
      <c r="L199">
        <v>7</v>
      </c>
      <c r="M199" t="s">
        <v>119</v>
      </c>
      <c r="N199">
        <v>5</v>
      </c>
      <c r="O199">
        <v>63</v>
      </c>
      <c r="P199">
        <v>159</v>
      </c>
      <c r="Q199">
        <v>94</v>
      </c>
      <c r="R199" t="s">
        <v>785</v>
      </c>
      <c r="S199" s="3">
        <v>3</v>
      </c>
      <c r="T199" s="3">
        <f t="shared" si="9"/>
        <v>1</v>
      </c>
      <c r="U199" t="s">
        <v>149</v>
      </c>
      <c r="V199" t="s">
        <v>142</v>
      </c>
      <c r="W199" t="s">
        <v>195</v>
      </c>
      <c r="X199">
        <v>0</v>
      </c>
      <c r="Y199" t="s">
        <v>143</v>
      </c>
      <c r="Z199" t="s">
        <v>190</v>
      </c>
      <c r="AA199" t="s">
        <v>191</v>
      </c>
      <c r="AB199" t="s">
        <v>457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 t="s">
        <v>787</v>
      </c>
      <c r="AK199" t="s">
        <v>65</v>
      </c>
      <c r="AL199" t="s">
        <v>66</v>
      </c>
      <c r="AM199" t="str">
        <f t="shared" si="10"/>
        <v>2024-2027</v>
      </c>
      <c r="AN199">
        <f t="shared" si="11"/>
        <v>3</v>
      </c>
    </row>
    <row r="200" spans="1:40" x14ac:dyDescent="0.2">
      <c r="A200">
        <v>199</v>
      </c>
      <c r="B200" t="s">
        <v>788</v>
      </c>
      <c r="C200" t="s">
        <v>1717</v>
      </c>
      <c r="D200" t="s">
        <v>227</v>
      </c>
      <c r="E200" t="s">
        <v>227</v>
      </c>
      <c r="F200" t="s">
        <v>227</v>
      </c>
      <c r="I200" t="s">
        <v>226</v>
      </c>
      <c r="M200" t="s">
        <v>226</v>
      </c>
      <c r="Q200">
        <v>95</v>
      </c>
      <c r="R200" t="s">
        <v>789</v>
      </c>
      <c r="S200" s="3">
        <v>3</v>
      </c>
      <c r="T200" s="3">
        <f t="shared" si="9"/>
        <v>1</v>
      </c>
      <c r="U200" t="s">
        <v>149</v>
      </c>
      <c r="V200" t="s">
        <v>142</v>
      </c>
      <c r="W200" t="s">
        <v>148</v>
      </c>
      <c r="X200">
        <v>0</v>
      </c>
      <c r="Y200" t="s">
        <v>143</v>
      </c>
      <c r="Z200" t="s">
        <v>144</v>
      </c>
      <c r="AA200" t="s">
        <v>43</v>
      </c>
      <c r="AB200" t="s">
        <v>81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</v>
      </c>
      <c r="AJ200" t="s">
        <v>226</v>
      </c>
      <c r="AK200" t="s">
        <v>65</v>
      </c>
      <c r="AL200" t="s">
        <v>66</v>
      </c>
      <c r="AM200" t="str">
        <f t="shared" si="10"/>
        <v>2024-2027</v>
      </c>
      <c r="AN200">
        <f t="shared" si="11"/>
        <v>3</v>
      </c>
    </row>
    <row r="201" spans="1:40" x14ac:dyDescent="0.2">
      <c r="A201">
        <v>200</v>
      </c>
      <c r="B201" t="s">
        <v>790</v>
      </c>
      <c r="C201" t="s">
        <v>1717</v>
      </c>
      <c r="D201" t="s">
        <v>60</v>
      </c>
      <c r="E201" t="s">
        <v>68</v>
      </c>
      <c r="F201" t="s">
        <v>291</v>
      </c>
      <c r="G201">
        <v>132</v>
      </c>
      <c r="H201">
        <v>51.689472116000019</v>
      </c>
      <c r="I201" t="s">
        <v>288</v>
      </c>
      <c r="J201">
        <v>98</v>
      </c>
      <c r="K201">
        <v>19.730811897999999</v>
      </c>
      <c r="L201">
        <v>34</v>
      </c>
      <c r="M201" t="s">
        <v>49</v>
      </c>
      <c r="N201">
        <v>66</v>
      </c>
      <c r="O201">
        <v>179</v>
      </c>
      <c r="P201">
        <v>3673</v>
      </c>
      <c r="Q201">
        <v>95</v>
      </c>
      <c r="R201" t="s">
        <v>789</v>
      </c>
      <c r="S201" s="3">
        <v>3</v>
      </c>
      <c r="T201" s="3">
        <f t="shared" si="9"/>
        <v>1</v>
      </c>
      <c r="U201" t="s">
        <v>149</v>
      </c>
      <c r="V201" t="s">
        <v>142</v>
      </c>
      <c r="W201" t="s">
        <v>148</v>
      </c>
      <c r="X201">
        <v>0</v>
      </c>
      <c r="Y201" t="s">
        <v>143</v>
      </c>
      <c r="Z201" t="s">
        <v>144</v>
      </c>
      <c r="AA201" t="s">
        <v>43</v>
      </c>
      <c r="AB201" t="s">
        <v>81</v>
      </c>
      <c r="AC201">
        <v>2</v>
      </c>
      <c r="AD201">
        <v>1</v>
      </c>
      <c r="AE201">
        <v>1</v>
      </c>
      <c r="AF201">
        <v>0</v>
      </c>
      <c r="AG201">
        <v>0</v>
      </c>
      <c r="AH201">
        <v>0</v>
      </c>
      <c r="AI201">
        <v>0</v>
      </c>
      <c r="AJ201" t="s">
        <v>791</v>
      </c>
      <c r="AK201" t="s">
        <v>82</v>
      </c>
      <c r="AL201" t="s">
        <v>83</v>
      </c>
      <c r="AM201" t="str">
        <f t="shared" si="10"/>
        <v>2014-2016</v>
      </c>
      <c r="AN201">
        <f t="shared" si="11"/>
        <v>2</v>
      </c>
    </row>
    <row r="202" spans="1:40" x14ac:dyDescent="0.2">
      <c r="A202">
        <v>201</v>
      </c>
      <c r="B202" t="s">
        <v>792</v>
      </c>
      <c r="C202" t="s">
        <v>1717</v>
      </c>
      <c r="D202" t="s">
        <v>123</v>
      </c>
      <c r="E202" t="s">
        <v>98</v>
      </c>
      <c r="F202" t="s">
        <v>99</v>
      </c>
      <c r="G202">
        <v>4</v>
      </c>
      <c r="H202">
        <v>1.7137790900000001</v>
      </c>
      <c r="I202" t="s">
        <v>88</v>
      </c>
      <c r="J202">
        <v>5</v>
      </c>
      <c r="K202">
        <v>2.6925089899999999</v>
      </c>
      <c r="L202">
        <v>0</v>
      </c>
      <c r="M202" t="s">
        <v>137</v>
      </c>
      <c r="N202">
        <v>0</v>
      </c>
      <c r="O202">
        <v>7</v>
      </c>
      <c r="P202">
        <v>0</v>
      </c>
      <c r="Q202">
        <v>96</v>
      </c>
      <c r="R202" t="s">
        <v>794</v>
      </c>
      <c r="S202" s="3" t="s">
        <v>90</v>
      </c>
      <c r="T202" s="3">
        <f t="shared" si="9"/>
        <v>1</v>
      </c>
      <c r="U202" t="s">
        <v>96</v>
      </c>
      <c r="V202" t="s">
        <v>142</v>
      </c>
      <c r="W202" t="s">
        <v>148</v>
      </c>
      <c r="X202">
        <v>0</v>
      </c>
      <c r="Y202" t="s">
        <v>143</v>
      </c>
      <c r="Z202" t="s">
        <v>144</v>
      </c>
      <c r="AA202" t="s">
        <v>191</v>
      </c>
      <c r="AB202" t="s">
        <v>192</v>
      </c>
      <c r="AC202">
        <v>2</v>
      </c>
      <c r="AD202">
        <v>0</v>
      </c>
      <c r="AE202">
        <v>0</v>
      </c>
      <c r="AF202">
        <v>1</v>
      </c>
      <c r="AG202">
        <v>1</v>
      </c>
      <c r="AH202">
        <v>0</v>
      </c>
      <c r="AI202">
        <v>0</v>
      </c>
      <c r="AJ202" t="s">
        <v>793</v>
      </c>
      <c r="AK202" t="s">
        <v>193</v>
      </c>
      <c r="AL202" t="s">
        <v>194</v>
      </c>
      <c r="AM202" t="str">
        <f t="shared" si="10"/>
        <v>2018-2021</v>
      </c>
      <c r="AN202">
        <f t="shared" si="11"/>
        <v>3</v>
      </c>
    </row>
    <row r="203" spans="1:40" x14ac:dyDescent="0.2">
      <c r="A203">
        <v>202</v>
      </c>
      <c r="B203" t="s">
        <v>795</v>
      </c>
      <c r="C203" t="s">
        <v>1718</v>
      </c>
      <c r="D203" t="s">
        <v>72</v>
      </c>
      <c r="E203" t="s">
        <v>68</v>
      </c>
      <c r="F203" t="s">
        <v>69</v>
      </c>
      <c r="G203">
        <v>6</v>
      </c>
      <c r="H203">
        <v>3.9976106599999999</v>
      </c>
      <c r="I203" t="s">
        <v>61</v>
      </c>
      <c r="J203">
        <v>8</v>
      </c>
      <c r="K203">
        <v>5.3640965700000001</v>
      </c>
      <c r="L203">
        <v>6</v>
      </c>
      <c r="M203" t="s">
        <v>119</v>
      </c>
      <c r="N203">
        <v>6</v>
      </c>
      <c r="O203">
        <v>8</v>
      </c>
      <c r="P203">
        <v>198</v>
      </c>
      <c r="Q203">
        <v>96</v>
      </c>
      <c r="R203" t="s">
        <v>794</v>
      </c>
      <c r="S203" s="3" t="s">
        <v>90</v>
      </c>
      <c r="T203" s="3">
        <f t="shared" si="9"/>
        <v>1</v>
      </c>
      <c r="U203" t="s">
        <v>96</v>
      </c>
      <c r="V203" t="s">
        <v>142</v>
      </c>
      <c r="W203" t="s">
        <v>148</v>
      </c>
      <c r="X203">
        <v>0</v>
      </c>
      <c r="Y203" t="s">
        <v>143</v>
      </c>
      <c r="Z203" t="s">
        <v>144</v>
      </c>
      <c r="AA203" t="s">
        <v>191</v>
      </c>
      <c r="AB203" t="s">
        <v>192</v>
      </c>
      <c r="AC203">
        <v>2</v>
      </c>
      <c r="AD203">
        <v>1</v>
      </c>
      <c r="AE203">
        <v>1</v>
      </c>
      <c r="AF203">
        <v>0</v>
      </c>
      <c r="AG203">
        <v>0</v>
      </c>
      <c r="AH203">
        <v>0</v>
      </c>
      <c r="AI203">
        <v>0</v>
      </c>
      <c r="AJ203" t="s">
        <v>796</v>
      </c>
      <c r="AK203" t="s">
        <v>74</v>
      </c>
      <c r="AL203" t="s">
        <v>75</v>
      </c>
      <c r="AM203" t="str">
        <f t="shared" si="10"/>
        <v>2014-2018</v>
      </c>
      <c r="AN203">
        <f t="shared" si="11"/>
        <v>4</v>
      </c>
    </row>
    <row r="204" spans="1:40" x14ac:dyDescent="0.2">
      <c r="A204">
        <v>203</v>
      </c>
      <c r="B204" t="s">
        <v>797</v>
      </c>
      <c r="C204" t="s">
        <v>1718</v>
      </c>
      <c r="D204" t="s">
        <v>114</v>
      </c>
      <c r="E204" t="s">
        <v>68</v>
      </c>
      <c r="F204" t="s">
        <v>800</v>
      </c>
      <c r="G204">
        <v>2</v>
      </c>
      <c r="H204">
        <v>0.89394591999999995</v>
      </c>
      <c r="I204" t="s">
        <v>799</v>
      </c>
      <c r="J204">
        <v>1</v>
      </c>
      <c r="K204">
        <v>0.9007984</v>
      </c>
      <c r="L204">
        <v>1</v>
      </c>
      <c r="M204" t="s">
        <v>137</v>
      </c>
      <c r="N204">
        <v>1</v>
      </c>
      <c r="O204">
        <v>3</v>
      </c>
      <c r="P204">
        <v>13</v>
      </c>
      <c r="Q204">
        <v>96</v>
      </c>
      <c r="R204" t="s">
        <v>794</v>
      </c>
      <c r="S204" s="3" t="s">
        <v>90</v>
      </c>
      <c r="T204" s="3">
        <f t="shared" si="9"/>
        <v>1</v>
      </c>
      <c r="U204" t="s">
        <v>96</v>
      </c>
      <c r="V204" t="s">
        <v>142</v>
      </c>
      <c r="W204" t="s">
        <v>148</v>
      </c>
      <c r="X204">
        <v>0</v>
      </c>
      <c r="Y204" t="s">
        <v>143</v>
      </c>
      <c r="Z204" t="s">
        <v>144</v>
      </c>
      <c r="AA204" t="s">
        <v>191</v>
      </c>
      <c r="AB204" t="s">
        <v>192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 t="s">
        <v>798</v>
      </c>
      <c r="AK204" t="s">
        <v>65</v>
      </c>
      <c r="AL204" t="s">
        <v>66</v>
      </c>
      <c r="AM204" t="str">
        <f t="shared" si="10"/>
        <v>2024-2027</v>
      </c>
      <c r="AN204">
        <f t="shared" si="11"/>
        <v>3</v>
      </c>
    </row>
    <row r="205" spans="1:40" x14ac:dyDescent="0.2">
      <c r="A205">
        <v>204</v>
      </c>
      <c r="B205" t="s">
        <v>801</v>
      </c>
      <c r="C205" t="s">
        <v>1718</v>
      </c>
      <c r="D205" t="s">
        <v>60</v>
      </c>
      <c r="E205" t="s">
        <v>98</v>
      </c>
      <c r="F205" t="s">
        <v>99</v>
      </c>
      <c r="G205">
        <v>27</v>
      </c>
      <c r="H205">
        <v>10.57628731</v>
      </c>
      <c r="I205" t="s">
        <v>88</v>
      </c>
      <c r="J205">
        <v>24</v>
      </c>
      <c r="K205">
        <v>12.7221212</v>
      </c>
      <c r="L205">
        <v>4</v>
      </c>
      <c r="M205" t="s">
        <v>97</v>
      </c>
      <c r="N205">
        <v>0</v>
      </c>
      <c r="O205">
        <v>56</v>
      </c>
      <c r="P205">
        <v>43</v>
      </c>
      <c r="Q205">
        <v>97</v>
      </c>
      <c r="R205" t="s">
        <v>803</v>
      </c>
      <c r="S205" s="3" t="s">
        <v>141</v>
      </c>
      <c r="T205" s="3">
        <f t="shared" si="9"/>
        <v>1</v>
      </c>
      <c r="U205" t="s">
        <v>149</v>
      </c>
      <c r="V205" t="s">
        <v>142</v>
      </c>
      <c r="W205" t="s">
        <v>148</v>
      </c>
      <c r="X205">
        <v>0</v>
      </c>
      <c r="Y205" t="s">
        <v>143</v>
      </c>
      <c r="Z205" t="s">
        <v>144</v>
      </c>
      <c r="AA205" t="s">
        <v>63</v>
      </c>
      <c r="AB205" t="s">
        <v>317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 t="s">
        <v>802</v>
      </c>
      <c r="AK205" t="s">
        <v>65</v>
      </c>
      <c r="AL205" t="s">
        <v>66</v>
      </c>
      <c r="AM205" t="str">
        <f t="shared" si="10"/>
        <v>2024-2027</v>
      </c>
      <c r="AN205">
        <f t="shared" si="11"/>
        <v>3</v>
      </c>
    </row>
    <row r="206" spans="1:40" x14ac:dyDescent="0.2">
      <c r="A206">
        <v>205</v>
      </c>
      <c r="B206" t="s">
        <v>804</v>
      </c>
      <c r="C206" t="s">
        <v>1717</v>
      </c>
      <c r="D206" t="s">
        <v>186</v>
      </c>
      <c r="E206" t="s">
        <v>98</v>
      </c>
      <c r="F206" t="s">
        <v>99</v>
      </c>
      <c r="G206">
        <v>39</v>
      </c>
      <c r="H206">
        <v>19.202270819999999</v>
      </c>
      <c r="I206" t="s">
        <v>88</v>
      </c>
      <c r="J206">
        <v>34</v>
      </c>
      <c r="K206">
        <v>17.49083714</v>
      </c>
      <c r="L206">
        <v>2</v>
      </c>
      <c r="M206" t="s">
        <v>97</v>
      </c>
      <c r="N206">
        <v>0</v>
      </c>
      <c r="O206">
        <v>51</v>
      </c>
      <c r="P206">
        <v>13</v>
      </c>
      <c r="Q206">
        <v>98</v>
      </c>
      <c r="R206" t="s">
        <v>806</v>
      </c>
      <c r="S206" s="3" t="s">
        <v>90</v>
      </c>
      <c r="T206" s="3">
        <f t="shared" si="9"/>
        <v>1</v>
      </c>
      <c r="U206" t="s">
        <v>96</v>
      </c>
      <c r="V206" t="s">
        <v>142</v>
      </c>
      <c r="W206" t="s">
        <v>148</v>
      </c>
      <c r="X206">
        <v>0</v>
      </c>
      <c r="Y206" t="s">
        <v>143</v>
      </c>
      <c r="Z206" t="s">
        <v>144</v>
      </c>
      <c r="AA206" t="s">
        <v>43</v>
      </c>
      <c r="AB206" t="s">
        <v>44</v>
      </c>
      <c r="AC206">
        <v>2</v>
      </c>
      <c r="AD206">
        <v>0</v>
      </c>
      <c r="AE206">
        <v>0</v>
      </c>
      <c r="AF206">
        <v>1</v>
      </c>
      <c r="AG206">
        <v>1</v>
      </c>
      <c r="AH206">
        <v>0</v>
      </c>
      <c r="AI206">
        <v>0</v>
      </c>
      <c r="AJ206" t="s">
        <v>805</v>
      </c>
      <c r="AK206" t="s">
        <v>193</v>
      </c>
      <c r="AL206" t="s">
        <v>194</v>
      </c>
      <c r="AM206" t="str">
        <f t="shared" si="10"/>
        <v>2018-2021</v>
      </c>
      <c r="AN206">
        <f t="shared" si="11"/>
        <v>3</v>
      </c>
    </row>
    <row r="207" spans="1:40" x14ac:dyDescent="0.2">
      <c r="A207">
        <v>206</v>
      </c>
      <c r="B207" t="s">
        <v>807</v>
      </c>
      <c r="C207" t="s">
        <v>1718</v>
      </c>
      <c r="D207" t="s">
        <v>186</v>
      </c>
      <c r="E207" t="s">
        <v>98</v>
      </c>
      <c r="F207" t="s">
        <v>99</v>
      </c>
      <c r="G207">
        <v>1</v>
      </c>
      <c r="H207">
        <v>0.71237444999999999</v>
      </c>
      <c r="I207" t="s">
        <v>88</v>
      </c>
      <c r="J207">
        <v>1</v>
      </c>
      <c r="K207">
        <v>0.79987039999999998</v>
      </c>
      <c r="L207">
        <v>0</v>
      </c>
      <c r="M207" t="s">
        <v>137</v>
      </c>
      <c r="N207">
        <v>0</v>
      </c>
      <c r="O207">
        <v>1</v>
      </c>
      <c r="P207">
        <v>0</v>
      </c>
      <c r="Q207">
        <v>98</v>
      </c>
      <c r="R207" t="s">
        <v>806</v>
      </c>
      <c r="S207" s="3" t="s">
        <v>90</v>
      </c>
      <c r="T207" s="3">
        <f t="shared" si="9"/>
        <v>1</v>
      </c>
      <c r="U207" t="s">
        <v>96</v>
      </c>
      <c r="V207" t="s">
        <v>142</v>
      </c>
      <c r="W207" t="s">
        <v>148</v>
      </c>
      <c r="X207">
        <v>0</v>
      </c>
      <c r="Y207" t="s">
        <v>143</v>
      </c>
      <c r="Z207" t="s">
        <v>144</v>
      </c>
      <c r="AA207" t="s">
        <v>43</v>
      </c>
      <c r="AB207" t="s">
        <v>44</v>
      </c>
      <c r="AC207">
        <v>2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1</v>
      </c>
      <c r="AJ207" t="s">
        <v>808</v>
      </c>
      <c r="AK207" t="s">
        <v>55</v>
      </c>
      <c r="AL207" t="s">
        <v>56</v>
      </c>
      <c r="AM207" t="str">
        <f t="shared" si="10"/>
        <v>2022-2027</v>
      </c>
      <c r="AN207">
        <f t="shared" si="11"/>
        <v>5</v>
      </c>
    </row>
    <row r="208" spans="1:40" x14ac:dyDescent="0.2">
      <c r="A208">
        <v>207</v>
      </c>
      <c r="B208" t="s">
        <v>809</v>
      </c>
      <c r="C208" t="s">
        <v>1717</v>
      </c>
      <c r="D208" t="s">
        <v>37</v>
      </c>
      <c r="E208" t="s">
        <v>98</v>
      </c>
      <c r="F208" t="s">
        <v>99</v>
      </c>
      <c r="G208">
        <v>5</v>
      </c>
      <c r="H208">
        <v>2.17799605</v>
      </c>
      <c r="I208" t="s">
        <v>88</v>
      </c>
      <c r="J208">
        <v>2</v>
      </c>
      <c r="K208">
        <v>0.68013472000000008</v>
      </c>
      <c r="L208">
        <v>1</v>
      </c>
      <c r="M208" t="s">
        <v>137</v>
      </c>
      <c r="N208">
        <v>0</v>
      </c>
      <c r="O208">
        <v>8</v>
      </c>
      <c r="P208">
        <v>2</v>
      </c>
      <c r="Q208">
        <v>99</v>
      </c>
      <c r="R208" t="s">
        <v>811</v>
      </c>
      <c r="S208" s="3" t="s">
        <v>90</v>
      </c>
      <c r="T208" s="3">
        <f t="shared" si="9"/>
        <v>1</v>
      </c>
      <c r="U208" t="s">
        <v>96</v>
      </c>
      <c r="V208" t="s">
        <v>142</v>
      </c>
      <c r="W208" t="s">
        <v>148</v>
      </c>
      <c r="X208">
        <v>0</v>
      </c>
      <c r="Y208" t="s">
        <v>143</v>
      </c>
      <c r="Z208" t="s">
        <v>144</v>
      </c>
      <c r="AA208" t="s">
        <v>43</v>
      </c>
      <c r="AB208" t="s">
        <v>81</v>
      </c>
      <c r="AC208">
        <v>4</v>
      </c>
      <c r="AD208">
        <v>0</v>
      </c>
      <c r="AE208">
        <v>0</v>
      </c>
      <c r="AF208">
        <v>1</v>
      </c>
      <c r="AG208">
        <v>1</v>
      </c>
      <c r="AH208">
        <v>1</v>
      </c>
      <c r="AI208">
        <v>1</v>
      </c>
      <c r="AJ208" t="s">
        <v>810</v>
      </c>
      <c r="AK208" t="s">
        <v>146</v>
      </c>
      <c r="AL208" t="s">
        <v>147</v>
      </c>
      <c r="AM208" t="str">
        <f t="shared" si="10"/>
        <v>2018-2027</v>
      </c>
      <c r="AN208">
        <f t="shared" si="11"/>
        <v>9</v>
      </c>
    </row>
    <row r="209" spans="1:40" x14ac:dyDescent="0.2">
      <c r="A209">
        <v>208</v>
      </c>
      <c r="B209" t="s">
        <v>812</v>
      </c>
      <c r="C209" t="s">
        <v>1718</v>
      </c>
      <c r="D209" t="s">
        <v>231</v>
      </c>
      <c r="E209" t="s">
        <v>50</v>
      </c>
      <c r="F209" t="s">
        <v>815</v>
      </c>
      <c r="G209">
        <v>2</v>
      </c>
      <c r="H209">
        <v>0.86133004000000002</v>
      </c>
      <c r="I209" t="s">
        <v>814</v>
      </c>
      <c r="J209">
        <v>1</v>
      </c>
      <c r="K209">
        <v>0.55522585000000002</v>
      </c>
      <c r="L209">
        <v>0</v>
      </c>
      <c r="M209" t="s">
        <v>137</v>
      </c>
      <c r="N209">
        <v>0</v>
      </c>
      <c r="O209">
        <v>2</v>
      </c>
      <c r="P209">
        <v>0</v>
      </c>
      <c r="Q209">
        <v>99</v>
      </c>
      <c r="R209" t="s">
        <v>811</v>
      </c>
      <c r="S209" s="3" t="s">
        <v>90</v>
      </c>
      <c r="T209" s="3">
        <f t="shared" si="9"/>
        <v>1</v>
      </c>
      <c r="U209" t="s">
        <v>96</v>
      </c>
      <c r="V209" t="s">
        <v>142</v>
      </c>
      <c r="W209" t="s">
        <v>148</v>
      </c>
      <c r="X209">
        <v>0</v>
      </c>
      <c r="Y209" t="s">
        <v>143</v>
      </c>
      <c r="Z209" t="s">
        <v>144</v>
      </c>
      <c r="AA209" t="s">
        <v>43</v>
      </c>
      <c r="AB209" t="s">
        <v>81</v>
      </c>
      <c r="AC209">
        <v>2</v>
      </c>
      <c r="AD209">
        <v>1</v>
      </c>
      <c r="AE209">
        <v>1</v>
      </c>
      <c r="AF209">
        <v>0</v>
      </c>
      <c r="AG209">
        <v>0</v>
      </c>
      <c r="AH209">
        <v>0</v>
      </c>
      <c r="AI209">
        <v>0</v>
      </c>
      <c r="AJ209" t="s">
        <v>813</v>
      </c>
      <c r="AK209" t="s">
        <v>74</v>
      </c>
      <c r="AL209" t="s">
        <v>75</v>
      </c>
      <c r="AM209" t="str">
        <f t="shared" si="10"/>
        <v>2014-2018</v>
      </c>
      <c r="AN209">
        <f t="shared" si="11"/>
        <v>4</v>
      </c>
    </row>
    <row r="210" spans="1:40" x14ac:dyDescent="0.2">
      <c r="A210">
        <v>209</v>
      </c>
      <c r="B210" t="s">
        <v>816</v>
      </c>
      <c r="C210" t="s">
        <v>1718</v>
      </c>
      <c r="D210" t="s">
        <v>248</v>
      </c>
      <c r="E210" t="s">
        <v>98</v>
      </c>
      <c r="F210" t="s">
        <v>99</v>
      </c>
      <c r="G210">
        <v>20</v>
      </c>
      <c r="H210">
        <v>9.7026324400000004</v>
      </c>
      <c r="I210" t="s">
        <v>88</v>
      </c>
      <c r="J210">
        <v>28</v>
      </c>
      <c r="K210">
        <v>14.66951036</v>
      </c>
      <c r="L210">
        <v>3</v>
      </c>
      <c r="M210" t="s">
        <v>97</v>
      </c>
      <c r="N210">
        <v>0</v>
      </c>
      <c r="O210">
        <v>36</v>
      </c>
      <c r="P210">
        <v>20</v>
      </c>
      <c r="Q210">
        <v>100</v>
      </c>
      <c r="R210" t="s">
        <v>818</v>
      </c>
      <c r="S210" s="3" t="s">
        <v>90</v>
      </c>
      <c r="T210" s="3">
        <f t="shared" si="9"/>
        <v>1</v>
      </c>
      <c r="U210" t="s">
        <v>96</v>
      </c>
      <c r="V210" t="s">
        <v>142</v>
      </c>
      <c r="W210" t="s">
        <v>148</v>
      </c>
      <c r="X210">
        <v>0</v>
      </c>
      <c r="Y210" t="s">
        <v>143</v>
      </c>
      <c r="Z210" t="s">
        <v>144</v>
      </c>
      <c r="AA210" t="s">
        <v>63</v>
      </c>
      <c r="AB210" t="s">
        <v>64</v>
      </c>
      <c r="AC210">
        <v>1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 t="s">
        <v>817</v>
      </c>
      <c r="AK210" t="s">
        <v>202</v>
      </c>
      <c r="AL210" t="s">
        <v>203</v>
      </c>
      <c r="AM210" t="str">
        <f t="shared" si="10"/>
        <v>2018-2020</v>
      </c>
      <c r="AN210">
        <f t="shared" si="11"/>
        <v>2</v>
      </c>
    </row>
    <row r="211" spans="1:40" x14ac:dyDescent="0.2">
      <c r="A211">
        <v>210</v>
      </c>
      <c r="B211" t="s">
        <v>819</v>
      </c>
      <c r="C211" t="s">
        <v>1717</v>
      </c>
      <c r="D211" t="s">
        <v>72</v>
      </c>
      <c r="E211" t="s">
        <v>150</v>
      </c>
      <c r="F211" t="s">
        <v>151</v>
      </c>
      <c r="G211">
        <v>54</v>
      </c>
      <c r="H211">
        <v>25.209622370000002</v>
      </c>
      <c r="I211" t="s">
        <v>140</v>
      </c>
      <c r="J211">
        <v>21</v>
      </c>
      <c r="K211">
        <v>6.3437128960000004</v>
      </c>
      <c r="L211">
        <v>21</v>
      </c>
      <c r="M211" t="s">
        <v>49</v>
      </c>
      <c r="N211">
        <v>26</v>
      </c>
      <c r="O211">
        <v>70</v>
      </c>
      <c r="P211">
        <v>1119</v>
      </c>
      <c r="Q211">
        <v>101</v>
      </c>
      <c r="R211" t="s">
        <v>821</v>
      </c>
      <c r="S211" s="3" t="s">
        <v>90</v>
      </c>
      <c r="T211" s="3">
        <f t="shared" si="9"/>
        <v>1</v>
      </c>
      <c r="U211" t="s">
        <v>96</v>
      </c>
      <c r="V211" t="s">
        <v>142</v>
      </c>
      <c r="W211" t="s">
        <v>148</v>
      </c>
      <c r="X211">
        <v>0</v>
      </c>
      <c r="Y211" t="s">
        <v>143</v>
      </c>
      <c r="Z211" t="s">
        <v>144</v>
      </c>
      <c r="AA211" t="s">
        <v>191</v>
      </c>
      <c r="AB211" t="s">
        <v>457</v>
      </c>
      <c r="AC211">
        <v>4</v>
      </c>
      <c r="AD211">
        <v>0</v>
      </c>
      <c r="AE211">
        <v>0</v>
      </c>
      <c r="AF211">
        <v>1</v>
      </c>
      <c r="AG211">
        <v>1</v>
      </c>
      <c r="AH211">
        <v>1</v>
      </c>
      <c r="AI211">
        <v>1</v>
      </c>
      <c r="AJ211" t="s">
        <v>820</v>
      </c>
      <c r="AK211" t="s">
        <v>146</v>
      </c>
      <c r="AL211" t="s">
        <v>147</v>
      </c>
      <c r="AM211" t="str">
        <f t="shared" si="10"/>
        <v>2018-2027</v>
      </c>
      <c r="AN211">
        <f t="shared" si="11"/>
        <v>9</v>
      </c>
    </row>
    <row r="212" spans="1:40" x14ac:dyDescent="0.2">
      <c r="A212">
        <v>211</v>
      </c>
      <c r="B212" t="s">
        <v>822</v>
      </c>
      <c r="C212" t="s">
        <v>1718</v>
      </c>
      <c r="D212" t="s">
        <v>186</v>
      </c>
      <c r="E212" t="s">
        <v>98</v>
      </c>
      <c r="F212" t="s">
        <v>99</v>
      </c>
      <c r="G212">
        <v>30</v>
      </c>
      <c r="H212">
        <v>7.5427181499999989</v>
      </c>
      <c r="I212" t="s">
        <v>88</v>
      </c>
      <c r="J212">
        <v>31</v>
      </c>
      <c r="K212">
        <v>15.942710630000001</v>
      </c>
      <c r="L212">
        <v>3</v>
      </c>
      <c r="M212" t="s">
        <v>97</v>
      </c>
      <c r="N212">
        <v>1</v>
      </c>
      <c r="O212">
        <v>53</v>
      </c>
      <c r="P212">
        <v>29</v>
      </c>
      <c r="Q212">
        <v>102</v>
      </c>
      <c r="R212" t="s">
        <v>824</v>
      </c>
      <c r="S212" s="3" t="s">
        <v>141</v>
      </c>
      <c r="T212" s="3">
        <f t="shared" si="9"/>
        <v>1</v>
      </c>
      <c r="U212" t="s">
        <v>149</v>
      </c>
      <c r="V212" t="s">
        <v>142</v>
      </c>
      <c r="W212" t="s">
        <v>195</v>
      </c>
      <c r="X212">
        <v>0</v>
      </c>
      <c r="Y212" t="s">
        <v>143</v>
      </c>
      <c r="Z212" t="s">
        <v>190</v>
      </c>
      <c r="AA212" t="s">
        <v>43</v>
      </c>
      <c r="AB212" t="s">
        <v>81</v>
      </c>
      <c r="AC212">
        <v>3</v>
      </c>
      <c r="AD212">
        <v>0</v>
      </c>
      <c r="AE212">
        <v>0</v>
      </c>
      <c r="AF212">
        <v>0</v>
      </c>
      <c r="AG212">
        <v>1</v>
      </c>
      <c r="AH212">
        <v>1</v>
      </c>
      <c r="AI212">
        <v>1</v>
      </c>
      <c r="AJ212" t="s">
        <v>823</v>
      </c>
      <c r="AK212" t="s">
        <v>269</v>
      </c>
      <c r="AL212" t="s">
        <v>270</v>
      </c>
      <c r="AM212" t="str">
        <f t="shared" si="10"/>
        <v>2020-2027</v>
      </c>
      <c r="AN212">
        <f t="shared" si="11"/>
        <v>7</v>
      </c>
    </row>
    <row r="213" spans="1:40" x14ac:dyDescent="0.2">
      <c r="A213">
        <v>212</v>
      </c>
      <c r="B213" t="s">
        <v>825</v>
      </c>
      <c r="C213" t="s">
        <v>1718</v>
      </c>
      <c r="D213" t="s">
        <v>72</v>
      </c>
      <c r="E213" t="s">
        <v>68</v>
      </c>
      <c r="F213" t="s">
        <v>362</v>
      </c>
      <c r="G213">
        <v>61</v>
      </c>
      <c r="H213">
        <v>18.761619969999991</v>
      </c>
      <c r="I213" t="s">
        <v>357</v>
      </c>
      <c r="J213">
        <v>41</v>
      </c>
      <c r="K213">
        <v>12.4443632</v>
      </c>
      <c r="L213">
        <v>13</v>
      </c>
      <c r="M213" t="s">
        <v>67</v>
      </c>
      <c r="N213">
        <v>16</v>
      </c>
      <c r="O213">
        <v>74</v>
      </c>
      <c r="P213">
        <v>493</v>
      </c>
      <c r="Q213">
        <v>103</v>
      </c>
      <c r="R213" t="s">
        <v>827</v>
      </c>
      <c r="S213" s="3" t="s">
        <v>90</v>
      </c>
      <c r="T213" s="3">
        <f t="shared" si="9"/>
        <v>1</v>
      </c>
      <c r="U213" t="s">
        <v>96</v>
      </c>
      <c r="V213" t="s">
        <v>142</v>
      </c>
      <c r="W213" t="s">
        <v>148</v>
      </c>
      <c r="X213">
        <v>0</v>
      </c>
      <c r="Y213" t="s">
        <v>143</v>
      </c>
      <c r="Z213" t="s">
        <v>144</v>
      </c>
      <c r="AA213" t="s">
        <v>224</v>
      </c>
      <c r="AB213" t="s">
        <v>346</v>
      </c>
      <c r="AC213">
        <v>1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 t="s">
        <v>826</v>
      </c>
      <c r="AK213" t="s">
        <v>320</v>
      </c>
      <c r="AL213" t="s">
        <v>321</v>
      </c>
      <c r="AM213" t="str">
        <f t="shared" si="10"/>
        <v>2016-2018</v>
      </c>
      <c r="AN213">
        <f t="shared" si="11"/>
        <v>2</v>
      </c>
    </row>
    <row r="214" spans="1:40" x14ac:dyDescent="0.2">
      <c r="A214">
        <v>213</v>
      </c>
      <c r="B214" t="s">
        <v>828</v>
      </c>
      <c r="C214" t="s">
        <v>1718</v>
      </c>
      <c r="D214" t="s">
        <v>231</v>
      </c>
      <c r="E214" t="s">
        <v>98</v>
      </c>
      <c r="F214" t="s">
        <v>99</v>
      </c>
      <c r="G214">
        <v>10</v>
      </c>
      <c r="H214">
        <v>4.8719120900000004</v>
      </c>
      <c r="I214" t="s">
        <v>88</v>
      </c>
      <c r="J214">
        <v>11</v>
      </c>
      <c r="K214">
        <v>5.4480640500000002</v>
      </c>
      <c r="L214">
        <v>1</v>
      </c>
      <c r="M214" t="s">
        <v>137</v>
      </c>
      <c r="N214">
        <v>0</v>
      </c>
      <c r="O214">
        <v>14</v>
      </c>
      <c r="P214">
        <v>2</v>
      </c>
      <c r="Q214">
        <v>103</v>
      </c>
      <c r="R214" t="s">
        <v>827</v>
      </c>
      <c r="S214" s="3" t="s">
        <v>90</v>
      </c>
      <c r="T214" s="3">
        <f t="shared" si="9"/>
        <v>1</v>
      </c>
      <c r="U214" t="s">
        <v>96</v>
      </c>
      <c r="V214" t="s">
        <v>142</v>
      </c>
      <c r="W214" t="s">
        <v>148</v>
      </c>
      <c r="X214">
        <v>0</v>
      </c>
      <c r="Y214" t="s">
        <v>143</v>
      </c>
      <c r="Z214" t="s">
        <v>144</v>
      </c>
      <c r="AA214" t="s">
        <v>224</v>
      </c>
      <c r="AB214" t="s">
        <v>346</v>
      </c>
      <c r="AC214">
        <v>2</v>
      </c>
      <c r="AD214">
        <v>1</v>
      </c>
      <c r="AE214">
        <v>1</v>
      </c>
      <c r="AF214">
        <v>0</v>
      </c>
      <c r="AG214">
        <v>0</v>
      </c>
      <c r="AH214">
        <v>0</v>
      </c>
      <c r="AI214">
        <v>0</v>
      </c>
      <c r="AJ214" t="s">
        <v>829</v>
      </c>
      <c r="AK214" t="s">
        <v>82</v>
      </c>
      <c r="AL214" t="s">
        <v>83</v>
      </c>
      <c r="AM214" t="str">
        <f t="shared" si="10"/>
        <v>2014-2016</v>
      </c>
      <c r="AN214">
        <f t="shared" si="11"/>
        <v>2</v>
      </c>
    </row>
    <row r="215" spans="1:40" x14ac:dyDescent="0.2">
      <c r="A215">
        <v>214</v>
      </c>
      <c r="B215" t="s">
        <v>830</v>
      </c>
      <c r="C215" t="s">
        <v>1717</v>
      </c>
      <c r="D215" t="s">
        <v>231</v>
      </c>
      <c r="E215" t="s">
        <v>98</v>
      </c>
      <c r="F215" t="s">
        <v>99</v>
      </c>
      <c r="G215">
        <v>39</v>
      </c>
      <c r="H215">
        <v>17.457386</v>
      </c>
      <c r="I215" t="s">
        <v>88</v>
      </c>
      <c r="J215">
        <v>36</v>
      </c>
      <c r="K215">
        <v>20.10558219</v>
      </c>
      <c r="L215">
        <v>2</v>
      </c>
      <c r="M215" t="s">
        <v>97</v>
      </c>
      <c r="N215">
        <v>0</v>
      </c>
      <c r="O215">
        <v>55</v>
      </c>
      <c r="P215">
        <v>20</v>
      </c>
      <c r="Q215">
        <v>103</v>
      </c>
      <c r="R215" t="s">
        <v>827</v>
      </c>
      <c r="S215" s="3" t="s">
        <v>90</v>
      </c>
      <c r="T215" s="3">
        <f t="shared" si="9"/>
        <v>1</v>
      </c>
      <c r="U215" t="s">
        <v>96</v>
      </c>
      <c r="V215" t="s">
        <v>142</v>
      </c>
      <c r="W215" t="s">
        <v>148</v>
      </c>
      <c r="X215">
        <v>0</v>
      </c>
      <c r="Y215" t="s">
        <v>143</v>
      </c>
      <c r="Z215" t="s">
        <v>144</v>
      </c>
      <c r="AA215" t="s">
        <v>224</v>
      </c>
      <c r="AB215" t="s">
        <v>346</v>
      </c>
      <c r="AC215">
        <v>1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 t="s">
        <v>831</v>
      </c>
      <c r="AK215" t="s">
        <v>202</v>
      </c>
      <c r="AL215" t="s">
        <v>203</v>
      </c>
      <c r="AM215" t="str">
        <f t="shared" si="10"/>
        <v>2018-2020</v>
      </c>
      <c r="AN215">
        <f t="shared" si="11"/>
        <v>2</v>
      </c>
    </row>
    <row r="216" spans="1:40" x14ac:dyDescent="0.2">
      <c r="A216">
        <v>215</v>
      </c>
      <c r="B216" t="s">
        <v>832</v>
      </c>
      <c r="C216" t="s">
        <v>1718</v>
      </c>
      <c r="D216" t="s">
        <v>60</v>
      </c>
      <c r="E216" t="s">
        <v>98</v>
      </c>
      <c r="F216" t="s">
        <v>99</v>
      </c>
      <c r="G216">
        <v>78</v>
      </c>
      <c r="H216">
        <v>37.451169030000003</v>
      </c>
      <c r="I216" t="s">
        <v>88</v>
      </c>
      <c r="J216">
        <v>35</v>
      </c>
      <c r="K216">
        <v>17.679379740000002</v>
      </c>
      <c r="L216">
        <v>12</v>
      </c>
      <c r="M216" t="s">
        <v>67</v>
      </c>
      <c r="N216">
        <v>13</v>
      </c>
      <c r="O216">
        <v>128</v>
      </c>
      <c r="P216">
        <v>523</v>
      </c>
      <c r="Q216">
        <v>103</v>
      </c>
      <c r="R216" t="s">
        <v>827</v>
      </c>
      <c r="S216" s="3" t="s">
        <v>90</v>
      </c>
      <c r="T216" s="3">
        <f t="shared" si="9"/>
        <v>1</v>
      </c>
      <c r="U216" t="s">
        <v>96</v>
      </c>
      <c r="V216" t="s">
        <v>142</v>
      </c>
      <c r="W216" t="s">
        <v>148</v>
      </c>
      <c r="X216">
        <v>0</v>
      </c>
      <c r="Y216" t="s">
        <v>143</v>
      </c>
      <c r="Z216" t="s">
        <v>144</v>
      </c>
      <c r="AA216" t="s">
        <v>224</v>
      </c>
      <c r="AB216" t="s">
        <v>346</v>
      </c>
      <c r="AC216">
        <v>2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1</v>
      </c>
      <c r="AJ216" t="s">
        <v>833</v>
      </c>
      <c r="AK216" t="s">
        <v>55</v>
      </c>
      <c r="AL216" t="s">
        <v>56</v>
      </c>
      <c r="AM216" t="str">
        <f t="shared" si="10"/>
        <v>2022-2027</v>
      </c>
      <c r="AN216">
        <f t="shared" si="11"/>
        <v>5</v>
      </c>
    </row>
    <row r="217" spans="1:40" x14ac:dyDescent="0.2">
      <c r="A217">
        <v>216</v>
      </c>
      <c r="B217" t="s">
        <v>834</v>
      </c>
      <c r="C217" t="s">
        <v>1718</v>
      </c>
      <c r="D217" t="s">
        <v>114</v>
      </c>
      <c r="E217" t="s">
        <v>50</v>
      </c>
      <c r="F217" t="s">
        <v>76</v>
      </c>
      <c r="G217">
        <v>9</v>
      </c>
      <c r="H217">
        <v>3.9730066599999998</v>
      </c>
      <c r="I217" t="s">
        <v>73</v>
      </c>
      <c r="J217">
        <v>8</v>
      </c>
      <c r="K217">
        <v>2.7830674649999998</v>
      </c>
      <c r="L217">
        <v>6</v>
      </c>
      <c r="M217" t="s">
        <v>119</v>
      </c>
      <c r="N217">
        <v>6</v>
      </c>
      <c r="O217">
        <v>13</v>
      </c>
      <c r="P217">
        <v>350</v>
      </c>
      <c r="Q217">
        <v>104</v>
      </c>
      <c r="R217" t="s">
        <v>836</v>
      </c>
      <c r="S217" s="3" t="s">
        <v>141</v>
      </c>
      <c r="T217" s="3">
        <f t="shared" si="9"/>
        <v>1</v>
      </c>
      <c r="U217" t="s">
        <v>149</v>
      </c>
      <c r="V217" t="s">
        <v>142</v>
      </c>
      <c r="W217" t="s">
        <v>195</v>
      </c>
      <c r="X217">
        <v>0</v>
      </c>
      <c r="Y217" t="s">
        <v>143</v>
      </c>
      <c r="Z217" t="s">
        <v>190</v>
      </c>
      <c r="AA217" t="s">
        <v>43</v>
      </c>
      <c r="AB217" t="s">
        <v>81</v>
      </c>
      <c r="AC217">
        <v>4</v>
      </c>
      <c r="AD217">
        <v>0</v>
      </c>
      <c r="AE217">
        <v>0</v>
      </c>
      <c r="AF217">
        <v>1</v>
      </c>
      <c r="AG217">
        <v>1</v>
      </c>
      <c r="AH217">
        <v>1</v>
      </c>
      <c r="AI217">
        <v>1</v>
      </c>
      <c r="AJ217" t="s">
        <v>835</v>
      </c>
      <c r="AK217" t="s">
        <v>146</v>
      </c>
      <c r="AL217" t="s">
        <v>147</v>
      </c>
      <c r="AM217" t="str">
        <f t="shared" si="10"/>
        <v>2018-2027</v>
      </c>
      <c r="AN217">
        <f t="shared" si="11"/>
        <v>9</v>
      </c>
    </row>
    <row r="218" spans="1:40" x14ac:dyDescent="0.2">
      <c r="A218">
        <v>217</v>
      </c>
      <c r="B218" t="s">
        <v>837</v>
      </c>
      <c r="C218" t="s">
        <v>1718</v>
      </c>
      <c r="D218" t="s">
        <v>186</v>
      </c>
      <c r="E218" t="s">
        <v>98</v>
      </c>
      <c r="F218" t="s">
        <v>99</v>
      </c>
      <c r="G218">
        <v>14</v>
      </c>
      <c r="H218">
        <v>4.8597012099999999</v>
      </c>
      <c r="I218" t="s">
        <v>88</v>
      </c>
      <c r="J218">
        <v>14</v>
      </c>
      <c r="K218">
        <v>7.9294693099999991</v>
      </c>
      <c r="L218">
        <v>2</v>
      </c>
      <c r="M218" t="s">
        <v>97</v>
      </c>
      <c r="N218">
        <v>0</v>
      </c>
      <c r="O218">
        <v>17</v>
      </c>
      <c r="P218">
        <v>8</v>
      </c>
      <c r="Q218">
        <v>105</v>
      </c>
      <c r="R218" t="s">
        <v>839</v>
      </c>
      <c r="S218" s="3" t="s">
        <v>90</v>
      </c>
      <c r="T218" s="3">
        <f t="shared" si="9"/>
        <v>1</v>
      </c>
      <c r="U218" t="s">
        <v>96</v>
      </c>
      <c r="V218" t="s">
        <v>142</v>
      </c>
      <c r="W218" t="s">
        <v>95</v>
      </c>
      <c r="X218">
        <v>0</v>
      </c>
      <c r="Y218" t="s">
        <v>41</v>
      </c>
      <c r="Z218" t="s">
        <v>92</v>
      </c>
      <c r="AA218" t="s">
        <v>63</v>
      </c>
      <c r="AB218" t="s">
        <v>206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 t="s">
        <v>838</v>
      </c>
      <c r="AK218" t="s">
        <v>65</v>
      </c>
      <c r="AL218" t="s">
        <v>66</v>
      </c>
      <c r="AM218" t="str">
        <f t="shared" si="10"/>
        <v>2024-2027</v>
      </c>
      <c r="AN218">
        <f t="shared" si="11"/>
        <v>3</v>
      </c>
    </row>
    <row r="219" spans="1:40" x14ac:dyDescent="0.2">
      <c r="A219">
        <v>218</v>
      </c>
      <c r="B219" t="s">
        <v>840</v>
      </c>
      <c r="C219" t="s">
        <v>1718</v>
      </c>
      <c r="D219" t="s">
        <v>72</v>
      </c>
      <c r="E219" t="s">
        <v>68</v>
      </c>
      <c r="F219" t="s">
        <v>386</v>
      </c>
      <c r="G219">
        <v>93</v>
      </c>
      <c r="H219">
        <v>29.472896512999991</v>
      </c>
      <c r="I219" t="s">
        <v>385</v>
      </c>
      <c r="J219">
        <v>77</v>
      </c>
      <c r="K219">
        <v>39.691867070000001</v>
      </c>
      <c r="L219">
        <v>9</v>
      </c>
      <c r="M219" t="s">
        <v>119</v>
      </c>
      <c r="N219">
        <v>7</v>
      </c>
      <c r="O219">
        <v>142</v>
      </c>
      <c r="P219">
        <v>311</v>
      </c>
      <c r="Q219">
        <v>105</v>
      </c>
      <c r="R219" t="s">
        <v>839</v>
      </c>
      <c r="S219" s="3" t="s">
        <v>90</v>
      </c>
      <c r="T219" s="3">
        <f t="shared" si="9"/>
        <v>1</v>
      </c>
      <c r="U219" t="s">
        <v>96</v>
      </c>
      <c r="V219" t="s">
        <v>142</v>
      </c>
      <c r="W219" t="s">
        <v>95</v>
      </c>
      <c r="X219">
        <v>0</v>
      </c>
      <c r="Y219" t="s">
        <v>41</v>
      </c>
      <c r="Z219" t="s">
        <v>92</v>
      </c>
      <c r="AA219" t="s">
        <v>63</v>
      </c>
      <c r="AB219" t="s">
        <v>206</v>
      </c>
      <c r="AC219">
        <v>3</v>
      </c>
      <c r="AD219">
        <v>1</v>
      </c>
      <c r="AE219">
        <v>1</v>
      </c>
      <c r="AF219">
        <v>1</v>
      </c>
      <c r="AG219">
        <v>0</v>
      </c>
      <c r="AH219">
        <v>0</v>
      </c>
      <c r="AI219">
        <v>0</v>
      </c>
      <c r="AJ219" t="s">
        <v>841</v>
      </c>
      <c r="AK219" t="s">
        <v>109</v>
      </c>
      <c r="AL219" t="s">
        <v>110</v>
      </c>
      <c r="AM219" t="str">
        <f t="shared" si="10"/>
        <v>2014-2020</v>
      </c>
      <c r="AN219">
        <f t="shared" si="11"/>
        <v>6</v>
      </c>
    </row>
    <row r="220" spans="1:40" x14ac:dyDescent="0.2">
      <c r="A220">
        <v>219</v>
      </c>
      <c r="B220" t="s">
        <v>842</v>
      </c>
      <c r="C220" t="s">
        <v>1717</v>
      </c>
      <c r="D220" t="s">
        <v>123</v>
      </c>
      <c r="E220" t="s">
        <v>68</v>
      </c>
      <c r="F220" t="s">
        <v>845</v>
      </c>
      <c r="G220">
        <v>9</v>
      </c>
      <c r="H220">
        <v>7.3448803599999994</v>
      </c>
      <c r="I220" t="s">
        <v>844</v>
      </c>
      <c r="J220">
        <v>7</v>
      </c>
      <c r="K220">
        <v>1.97093787</v>
      </c>
      <c r="L220">
        <v>4</v>
      </c>
      <c r="M220" t="s">
        <v>97</v>
      </c>
      <c r="N220">
        <v>0</v>
      </c>
      <c r="O220">
        <v>10</v>
      </c>
      <c r="P220">
        <v>32</v>
      </c>
      <c r="Q220">
        <v>105</v>
      </c>
      <c r="R220" t="s">
        <v>839</v>
      </c>
      <c r="S220" s="3" t="s">
        <v>90</v>
      </c>
      <c r="T220" s="3">
        <f t="shared" si="9"/>
        <v>1</v>
      </c>
      <c r="U220" t="s">
        <v>96</v>
      </c>
      <c r="V220" t="s">
        <v>142</v>
      </c>
      <c r="W220" t="s">
        <v>95</v>
      </c>
      <c r="X220">
        <v>0</v>
      </c>
      <c r="Y220" t="s">
        <v>41</v>
      </c>
      <c r="Z220" t="s">
        <v>92</v>
      </c>
      <c r="AA220" t="s">
        <v>63</v>
      </c>
      <c r="AB220" t="s">
        <v>206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 t="s">
        <v>843</v>
      </c>
      <c r="AK220" t="s">
        <v>125</v>
      </c>
      <c r="AL220" t="s">
        <v>126</v>
      </c>
      <c r="AM220" t="str">
        <f t="shared" si="10"/>
        <v>2022-2024</v>
      </c>
      <c r="AN220">
        <f t="shared" si="11"/>
        <v>2</v>
      </c>
    </row>
    <row r="221" spans="1:40" x14ac:dyDescent="0.2">
      <c r="A221">
        <v>220</v>
      </c>
      <c r="B221" t="s">
        <v>846</v>
      </c>
      <c r="C221" t="s">
        <v>1718</v>
      </c>
      <c r="D221" t="s">
        <v>72</v>
      </c>
      <c r="E221" t="s">
        <v>68</v>
      </c>
      <c r="F221" t="s">
        <v>849</v>
      </c>
      <c r="G221">
        <v>13</v>
      </c>
      <c r="H221">
        <v>5.1743370799999999</v>
      </c>
      <c r="I221" t="s">
        <v>848</v>
      </c>
      <c r="J221">
        <v>6</v>
      </c>
      <c r="K221">
        <v>3.1036528699999999</v>
      </c>
      <c r="L221">
        <v>6</v>
      </c>
      <c r="M221" t="s">
        <v>119</v>
      </c>
      <c r="N221">
        <v>3</v>
      </c>
      <c r="O221">
        <v>15</v>
      </c>
      <c r="P221">
        <v>151</v>
      </c>
      <c r="Q221">
        <v>105</v>
      </c>
      <c r="R221" t="s">
        <v>839</v>
      </c>
      <c r="S221" s="3" t="s">
        <v>90</v>
      </c>
      <c r="T221" s="3">
        <f t="shared" si="9"/>
        <v>1</v>
      </c>
      <c r="U221" t="s">
        <v>96</v>
      </c>
      <c r="V221" t="s">
        <v>142</v>
      </c>
      <c r="W221" t="s">
        <v>95</v>
      </c>
      <c r="X221">
        <v>0</v>
      </c>
      <c r="Y221" t="s">
        <v>41</v>
      </c>
      <c r="Z221" t="s">
        <v>92</v>
      </c>
      <c r="AA221" t="s">
        <v>63</v>
      </c>
      <c r="AB221" t="s">
        <v>206</v>
      </c>
      <c r="AC221">
        <v>1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 t="s">
        <v>847</v>
      </c>
      <c r="AK221" t="s">
        <v>93</v>
      </c>
      <c r="AL221" t="s">
        <v>94</v>
      </c>
      <c r="AM221" t="str">
        <f t="shared" si="10"/>
        <v>2020-2021</v>
      </c>
      <c r="AN221">
        <f t="shared" si="11"/>
        <v>1</v>
      </c>
    </row>
    <row r="222" spans="1:40" x14ac:dyDescent="0.2">
      <c r="A222">
        <v>221</v>
      </c>
      <c r="B222" t="s">
        <v>850</v>
      </c>
      <c r="C222" t="s">
        <v>1718</v>
      </c>
      <c r="D222" t="s">
        <v>186</v>
      </c>
      <c r="E222" t="s">
        <v>853</v>
      </c>
      <c r="F222" t="s">
        <v>854</v>
      </c>
      <c r="G222">
        <v>43</v>
      </c>
      <c r="H222">
        <v>15.16635417</v>
      </c>
      <c r="I222" t="s">
        <v>852</v>
      </c>
      <c r="J222">
        <v>25</v>
      </c>
      <c r="K222">
        <v>13.497153000000001</v>
      </c>
      <c r="L222">
        <v>6</v>
      </c>
      <c r="M222" t="s">
        <v>119</v>
      </c>
      <c r="N222">
        <v>4</v>
      </c>
      <c r="O222">
        <v>57</v>
      </c>
      <c r="P222">
        <v>163</v>
      </c>
      <c r="Q222">
        <v>106</v>
      </c>
      <c r="R222" t="s">
        <v>855</v>
      </c>
      <c r="S222" s="3" t="s">
        <v>117</v>
      </c>
      <c r="T222" s="3">
        <f t="shared" si="9"/>
        <v>1</v>
      </c>
      <c r="U222" t="s">
        <v>96</v>
      </c>
      <c r="V222" t="s">
        <v>142</v>
      </c>
      <c r="W222" t="s">
        <v>95</v>
      </c>
      <c r="X222">
        <v>0</v>
      </c>
      <c r="Y222" t="s">
        <v>41</v>
      </c>
      <c r="Z222" t="s">
        <v>92</v>
      </c>
      <c r="AA222" t="s">
        <v>63</v>
      </c>
      <c r="AB222" t="s">
        <v>206</v>
      </c>
      <c r="AC222">
        <v>2</v>
      </c>
      <c r="AD222">
        <v>1</v>
      </c>
      <c r="AE222">
        <v>1</v>
      </c>
      <c r="AF222">
        <v>0</v>
      </c>
      <c r="AG222">
        <v>0</v>
      </c>
      <c r="AH222">
        <v>0</v>
      </c>
      <c r="AI222">
        <v>0</v>
      </c>
      <c r="AJ222" t="s">
        <v>851</v>
      </c>
      <c r="AK222" t="s">
        <v>74</v>
      </c>
      <c r="AL222" t="s">
        <v>75</v>
      </c>
      <c r="AM222" t="str">
        <f t="shared" si="10"/>
        <v>2014-2018</v>
      </c>
      <c r="AN222">
        <f t="shared" si="11"/>
        <v>4</v>
      </c>
    </row>
    <row r="223" spans="1:40" x14ac:dyDescent="0.2">
      <c r="A223">
        <v>222</v>
      </c>
      <c r="B223" t="s">
        <v>856</v>
      </c>
      <c r="C223" t="s">
        <v>1718</v>
      </c>
      <c r="D223" t="s">
        <v>186</v>
      </c>
      <c r="E223" t="s">
        <v>98</v>
      </c>
      <c r="F223" t="s">
        <v>99</v>
      </c>
      <c r="G223">
        <v>39</v>
      </c>
      <c r="H223">
        <v>15.405453489999999</v>
      </c>
      <c r="I223" t="s">
        <v>88</v>
      </c>
      <c r="J223">
        <v>43</v>
      </c>
      <c r="K223">
        <v>24.25199851</v>
      </c>
      <c r="L223">
        <v>4</v>
      </c>
      <c r="M223" t="s">
        <v>97</v>
      </c>
      <c r="N223">
        <v>0</v>
      </c>
      <c r="O223">
        <v>71</v>
      </c>
      <c r="P223">
        <v>49</v>
      </c>
      <c r="Q223">
        <v>107</v>
      </c>
      <c r="R223" t="s">
        <v>858</v>
      </c>
      <c r="S223" s="3" t="s">
        <v>90</v>
      </c>
      <c r="T223" s="3">
        <f t="shared" si="9"/>
        <v>1</v>
      </c>
      <c r="U223" t="s">
        <v>96</v>
      </c>
      <c r="V223" t="s">
        <v>142</v>
      </c>
      <c r="W223" t="s">
        <v>195</v>
      </c>
      <c r="X223">
        <v>0</v>
      </c>
      <c r="Y223" t="s">
        <v>143</v>
      </c>
      <c r="Z223" t="s">
        <v>190</v>
      </c>
      <c r="AA223" t="s">
        <v>224</v>
      </c>
      <c r="AB223" t="s">
        <v>234</v>
      </c>
      <c r="AC223">
        <v>1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 t="s">
        <v>857</v>
      </c>
      <c r="AK223" t="s">
        <v>202</v>
      </c>
      <c r="AL223" t="s">
        <v>203</v>
      </c>
      <c r="AM223" t="str">
        <f t="shared" si="10"/>
        <v>2018-2020</v>
      </c>
      <c r="AN223">
        <f t="shared" si="11"/>
        <v>2</v>
      </c>
    </row>
    <row r="224" spans="1:40" x14ac:dyDescent="0.2">
      <c r="A224">
        <v>223</v>
      </c>
      <c r="B224" t="s">
        <v>859</v>
      </c>
      <c r="C224" t="s">
        <v>1717</v>
      </c>
      <c r="D224" t="s">
        <v>60</v>
      </c>
      <c r="E224" t="s">
        <v>68</v>
      </c>
      <c r="F224" t="s">
        <v>263</v>
      </c>
      <c r="G224">
        <v>23</v>
      </c>
      <c r="H224">
        <v>9.0824412700000003</v>
      </c>
      <c r="I224" t="s">
        <v>261</v>
      </c>
      <c r="J224">
        <v>17</v>
      </c>
      <c r="K224">
        <v>8.4806247600000013</v>
      </c>
      <c r="L224">
        <v>10</v>
      </c>
      <c r="M224" t="s">
        <v>119</v>
      </c>
      <c r="N224">
        <v>10</v>
      </c>
      <c r="O224">
        <v>31</v>
      </c>
      <c r="P224">
        <v>263</v>
      </c>
      <c r="Q224">
        <v>107</v>
      </c>
      <c r="R224" t="s">
        <v>858</v>
      </c>
      <c r="S224" s="3" t="s">
        <v>90</v>
      </c>
      <c r="T224" s="3">
        <f t="shared" si="9"/>
        <v>1</v>
      </c>
      <c r="U224" t="s">
        <v>96</v>
      </c>
      <c r="V224" t="s">
        <v>142</v>
      </c>
      <c r="W224" t="s">
        <v>148</v>
      </c>
      <c r="X224">
        <v>0</v>
      </c>
      <c r="Y224" t="s">
        <v>143</v>
      </c>
      <c r="Z224" t="s">
        <v>144</v>
      </c>
      <c r="AA224" t="s">
        <v>224</v>
      </c>
      <c r="AB224" t="s">
        <v>234</v>
      </c>
      <c r="AC224">
        <v>3</v>
      </c>
      <c r="AD224">
        <v>0</v>
      </c>
      <c r="AE224">
        <v>0</v>
      </c>
      <c r="AF224">
        <v>0</v>
      </c>
      <c r="AG224">
        <v>1</v>
      </c>
      <c r="AH224">
        <v>1</v>
      </c>
      <c r="AI224">
        <v>1</v>
      </c>
      <c r="AJ224" t="s">
        <v>860</v>
      </c>
      <c r="AK224" t="s">
        <v>269</v>
      </c>
      <c r="AL224" t="s">
        <v>270</v>
      </c>
      <c r="AM224" t="str">
        <f t="shared" si="10"/>
        <v>2020-2027</v>
      </c>
      <c r="AN224">
        <f t="shared" si="11"/>
        <v>7</v>
      </c>
    </row>
    <row r="225" spans="1:40" x14ac:dyDescent="0.2">
      <c r="A225">
        <v>224</v>
      </c>
      <c r="B225" t="s">
        <v>861</v>
      </c>
      <c r="C225" t="s">
        <v>1717</v>
      </c>
      <c r="D225" t="s">
        <v>114</v>
      </c>
      <c r="E225" t="s">
        <v>68</v>
      </c>
      <c r="F225" t="s">
        <v>447</v>
      </c>
      <c r="G225">
        <v>104</v>
      </c>
      <c r="H225">
        <v>59.363527689999998</v>
      </c>
      <c r="I225" t="s">
        <v>446</v>
      </c>
      <c r="J225">
        <v>77</v>
      </c>
      <c r="K225">
        <v>33.052199160000001</v>
      </c>
      <c r="L225">
        <v>25</v>
      </c>
      <c r="M225" t="s">
        <v>49</v>
      </c>
      <c r="N225">
        <v>47</v>
      </c>
      <c r="O225">
        <v>116</v>
      </c>
      <c r="P225">
        <v>1595</v>
      </c>
      <c r="Q225">
        <v>107</v>
      </c>
      <c r="R225" t="s">
        <v>858</v>
      </c>
      <c r="S225" s="3" t="s">
        <v>90</v>
      </c>
      <c r="T225" s="3">
        <f t="shared" si="9"/>
        <v>1</v>
      </c>
      <c r="U225" t="s">
        <v>96</v>
      </c>
      <c r="V225" t="s">
        <v>142</v>
      </c>
      <c r="W225" t="s">
        <v>148</v>
      </c>
      <c r="X225">
        <v>0</v>
      </c>
      <c r="Y225" t="s">
        <v>143</v>
      </c>
      <c r="Z225" t="s">
        <v>144</v>
      </c>
      <c r="AA225" t="s">
        <v>224</v>
      </c>
      <c r="AB225" t="s">
        <v>234</v>
      </c>
      <c r="AC225">
        <v>1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 t="s">
        <v>862</v>
      </c>
      <c r="AK225" t="s">
        <v>320</v>
      </c>
      <c r="AL225" t="s">
        <v>321</v>
      </c>
      <c r="AM225" t="str">
        <f t="shared" si="10"/>
        <v>2016-2018</v>
      </c>
      <c r="AN225">
        <f t="shared" si="11"/>
        <v>2</v>
      </c>
    </row>
    <row r="226" spans="1:40" x14ac:dyDescent="0.2">
      <c r="A226">
        <v>225</v>
      </c>
      <c r="B226" t="s">
        <v>863</v>
      </c>
      <c r="C226" t="s">
        <v>1718</v>
      </c>
      <c r="D226" t="s">
        <v>60</v>
      </c>
      <c r="E226" t="s">
        <v>150</v>
      </c>
      <c r="F226" t="s">
        <v>151</v>
      </c>
      <c r="G226">
        <v>51</v>
      </c>
      <c r="H226">
        <v>29.756875969999999</v>
      </c>
      <c r="I226" t="s">
        <v>140</v>
      </c>
      <c r="J226">
        <v>33</v>
      </c>
      <c r="K226">
        <v>12.016340295999999</v>
      </c>
      <c r="L226">
        <v>7</v>
      </c>
      <c r="M226" t="s">
        <v>119</v>
      </c>
      <c r="N226">
        <v>7</v>
      </c>
      <c r="O226">
        <v>57</v>
      </c>
      <c r="P226">
        <v>320</v>
      </c>
      <c r="Q226">
        <v>108</v>
      </c>
      <c r="R226" t="s">
        <v>865</v>
      </c>
      <c r="S226" s="3" t="s">
        <v>90</v>
      </c>
      <c r="T226" s="3">
        <f t="shared" si="9"/>
        <v>1</v>
      </c>
      <c r="U226" t="s">
        <v>96</v>
      </c>
      <c r="V226" t="s">
        <v>142</v>
      </c>
      <c r="W226" t="s">
        <v>148</v>
      </c>
      <c r="X226">
        <v>0</v>
      </c>
      <c r="Y226" t="s">
        <v>143</v>
      </c>
      <c r="Z226" t="s">
        <v>144</v>
      </c>
      <c r="AA226" t="s">
        <v>224</v>
      </c>
      <c r="AB226" t="s">
        <v>234</v>
      </c>
      <c r="AC226">
        <v>2</v>
      </c>
      <c r="AD226">
        <v>1</v>
      </c>
      <c r="AE226">
        <v>1</v>
      </c>
      <c r="AF226">
        <v>0</v>
      </c>
      <c r="AG226">
        <v>0</v>
      </c>
      <c r="AH226">
        <v>0</v>
      </c>
      <c r="AI226">
        <v>0</v>
      </c>
      <c r="AJ226" t="s">
        <v>864</v>
      </c>
      <c r="AK226" t="s">
        <v>74</v>
      </c>
      <c r="AL226" t="s">
        <v>75</v>
      </c>
      <c r="AM226" t="str">
        <f t="shared" si="10"/>
        <v>2014-2018</v>
      </c>
      <c r="AN226">
        <f t="shared" si="11"/>
        <v>4</v>
      </c>
    </row>
    <row r="227" spans="1:40" x14ac:dyDescent="0.2">
      <c r="A227">
        <v>226</v>
      </c>
      <c r="B227" t="s">
        <v>866</v>
      </c>
      <c r="C227" t="s">
        <v>1718</v>
      </c>
      <c r="D227" t="s">
        <v>186</v>
      </c>
      <c r="E227" t="s">
        <v>98</v>
      </c>
      <c r="F227" t="s">
        <v>99</v>
      </c>
      <c r="G227">
        <v>25</v>
      </c>
      <c r="H227">
        <v>9.4766446099999975</v>
      </c>
      <c r="I227" t="s">
        <v>88</v>
      </c>
      <c r="J227">
        <v>32</v>
      </c>
      <c r="K227">
        <v>18.231727729999999</v>
      </c>
      <c r="L227">
        <v>4</v>
      </c>
      <c r="M227" t="s">
        <v>97</v>
      </c>
      <c r="N227">
        <v>1</v>
      </c>
      <c r="O227">
        <v>46</v>
      </c>
      <c r="P227">
        <v>53</v>
      </c>
      <c r="Q227">
        <v>109</v>
      </c>
      <c r="R227" t="s">
        <v>868</v>
      </c>
      <c r="S227" s="3" t="s">
        <v>90</v>
      </c>
      <c r="T227" s="3">
        <f t="shared" si="9"/>
        <v>1</v>
      </c>
      <c r="U227" t="s">
        <v>96</v>
      </c>
      <c r="V227" t="s">
        <v>142</v>
      </c>
      <c r="W227" t="s">
        <v>148</v>
      </c>
      <c r="X227">
        <v>0</v>
      </c>
      <c r="Y227" t="s">
        <v>143</v>
      </c>
      <c r="Z227" t="s">
        <v>144</v>
      </c>
      <c r="AA227" t="s">
        <v>63</v>
      </c>
      <c r="AB227" t="s">
        <v>206</v>
      </c>
      <c r="AC227">
        <v>2</v>
      </c>
      <c r="AD227">
        <v>1</v>
      </c>
      <c r="AE227">
        <v>1</v>
      </c>
      <c r="AF227">
        <v>0</v>
      </c>
      <c r="AG227">
        <v>0</v>
      </c>
      <c r="AH227">
        <v>0</v>
      </c>
      <c r="AI227">
        <v>0</v>
      </c>
      <c r="AJ227" t="s">
        <v>867</v>
      </c>
      <c r="AK227" t="s">
        <v>82</v>
      </c>
      <c r="AL227" t="s">
        <v>83</v>
      </c>
      <c r="AM227" t="str">
        <f t="shared" si="10"/>
        <v>2014-2016</v>
      </c>
      <c r="AN227">
        <f t="shared" si="11"/>
        <v>2</v>
      </c>
    </row>
    <row r="228" spans="1:40" x14ac:dyDescent="0.2">
      <c r="A228">
        <v>227</v>
      </c>
      <c r="B228" t="s">
        <v>869</v>
      </c>
      <c r="C228" t="s">
        <v>1717</v>
      </c>
      <c r="D228" t="s">
        <v>227</v>
      </c>
      <c r="E228" t="s">
        <v>227</v>
      </c>
      <c r="F228" t="s">
        <v>227</v>
      </c>
      <c r="I228" t="s">
        <v>226</v>
      </c>
      <c r="M228" t="s">
        <v>226</v>
      </c>
      <c r="Q228">
        <v>109</v>
      </c>
      <c r="R228" t="s">
        <v>868</v>
      </c>
      <c r="S228" s="3" t="s">
        <v>90</v>
      </c>
      <c r="T228" s="3">
        <f t="shared" si="9"/>
        <v>1</v>
      </c>
      <c r="U228" t="s">
        <v>96</v>
      </c>
      <c r="V228" t="s">
        <v>142</v>
      </c>
      <c r="W228" t="s">
        <v>148</v>
      </c>
      <c r="X228">
        <v>0</v>
      </c>
      <c r="Y228" t="s">
        <v>143</v>
      </c>
      <c r="Z228" t="s">
        <v>144</v>
      </c>
      <c r="AA228" t="s">
        <v>63</v>
      </c>
      <c r="AB228" t="s">
        <v>206</v>
      </c>
      <c r="AC228">
        <v>1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 s="4" t="s">
        <v>226</v>
      </c>
      <c r="AK228" t="s">
        <v>320</v>
      </c>
      <c r="AL228" t="s">
        <v>321</v>
      </c>
      <c r="AM228" t="str">
        <f t="shared" si="10"/>
        <v>2016-2018</v>
      </c>
      <c r="AN228">
        <f t="shared" si="11"/>
        <v>2</v>
      </c>
    </row>
    <row r="229" spans="1:40" x14ac:dyDescent="0.2">
      <c r="A229">
        <v>228</v>
      </c>
      <c r="B229" t="s">
        <v>870</v>
      </c>
      <c r="C229" t="s">
        <v>1717</v>
      </c>
      <c r="D229" t="s">
        <v>123</v>
      </c>
      <c r="E229" t="s">
        <v>68</v>
      </c>
      <c r="F229" t="s">
        <v>509</v>
      </c>
      <c r="G229">
        <v>198</v>
      </c>
      <c r="H229">
        <v>123.83602879999999</v>
      </c>
      <c r="I229" t="s">
        <v>507</v>
      </c>
      <c r="J229">
        <v>62</v>
      </c>
      <c r="K229">
        <v>23.332697154000009</v>
      </c>
      <c r="L229">
        <v>20</v>
      </c>
      <c r="M229" t="s">
        <v>67</v>
      </c>
      <c r="N229">
        <v>50</v>
      </c>
      <c r="O229">
        <v>220</v>
      </c>
      <c r="P229">
        <v>1768</v>
      </c>
      <c r="Q229">
        <v>109</v>
      </c>
      <c r="R229" t="s">
        <v>868</v>
      </c>
      <c r="S229" s="3" t="s">
        <v>90</v>
      </c>
      <c r="T229" s="3">
        <f t="shared" si="9"/>
        <v>1</v>
      </c>
      <c r="U229" t="s">
        <v>96</v>
      </c>
      <c r="V229" t="s">
        <v>142</v>
      </c>
      <c r="W229" t="s">
        <v>148</v>
      </c>
      <c r="X229">
        <v>0</v>
      </c>
      <c r="Y229" t="s">
        <v>143</v>
      </c>
      <c r="Z229" t="s">
        <v>144</v>
      </c>
      <c r="AA229" t="s">
        <v>63</v>
      </c>
      <c r="AB229" t="s">
        <v>206</v>
      </c>
      <c r="AC229">
        <v>1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 t="s">
        <v>871</v>
      </c>
      <c r="AK229" t="s">
        <v>202</v>
      </c>
      <c r="AL229" t="s">
        <v>203</v>
      </c>
      <c r="AM229" t="str">
        <f t="shared" si="10"/>
        <v>2018-2020</v>
      </c>
      <c r="AN229">
        <f t="shared" si="11"/>
        <v>2</v>
      </c>
    </row>
    <row r="230" spans="1:40" x14ac:dyDescent="0.2">
      <c r="A230">
        <v>229</v>
      </c>
      <c r="B230" t="s">
        <v>872</v>
      </c>
      <c r="C230" t="s">
        <v>1718</v>
      </c>
      <c r="D230" t="s">
        <v>114</v>
      </c>
      <c r="E230" t="s">
        <v>50</v>
      </c>
      <c r="F230" t="s">
        <v>120</v>
      </c>
      <c r="G230">
        <v>200</v>
      </c>
      <c r="H230">
        <v>86.370344064999955</v>
      </c>
      <c r="I230" t="s">
        <v>115</v>
      </c>
      <c r="J230">
        <v>173</v>
      </c>
      <c r="K230">
        <v>32.220616401999969</v>
      </c>
      <c r="L230">
        <v>35</v>
      </c>
      <c r="M230" t="s">
        <v>49</v>
      </c>
      <c r="N230">
        <v>124</v>
      </c>
      <c r="O230">
        <v>214</v>
      </c>
      <c r="P230">
        <v>3893</v>
      </c>
      <c r="Q230">
        <v>110</v>
      </c>
      <c r="R230" t="s">
        <v>874</v>
      </c>
      <c r="S230" s="3" t="s">
        <v>141</v>
      </c>
      <c r="T230" s="3">
        <f t="shared" si="9"/>
        <v>1</v>
      </c>
      <c r="U230" t="s">
        <v>149</v>
      </c>
      <c r="V230" t="s">
        <v>142</v>
      </c>
      <c r="W230" t="s">
        <v>195</v>
      </c>
      <c r="X230">
        <v>0</v>
      </c>
      <c r="Y230" t="s">
        <v>143</v>
      </c>
      <c r="Z230" t="s">
        <v>190</v>
      </c>
      <c r="AA230" t="s">
        <v>43</v>
      </c>
      <c r="AB230" t="s">
        <v>81</v>
      </c>
      <c r="AC230">
        <v>6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 t="s">
        <v>873</v>
      </c>
      <c r="AK230" t="s">
        <v>775</v>
      </c>
      <c r="AL230" t="s">
        <v>776</v>
      </c>
      <c r="AM230" t="str">
        <f t="shared" si="10"/>
        <v>2014-2027</v>
      </c>
      <c r="AN230">
        <f t="shared" si="11"/>
        <v>13</v>
      </c>
    </row>
    <row r="231" spans="1:40" x14ac:dyDescent="0.2">
      <c r="A231">
        <v>230</v>
      </c>
      <c r="B231" t="s">
        <v>875</v>
      </c>
      <c r="C231" t="s">
        <v>1718</v>
      </c>
      <c r="D231" t="s">
        <v>186</v>
      </c>
      <c r="E231" t="s">
        <v>98</v>
      </c>
      <c r="F231" t="s">
        <v>99</v>
      </c>
      <c r="G231">
        <v>35</v>
      </c>
      <c r="H231">
        <v>11.171585540000001</v>
      </c>
      <c r="I231" t="s">
        <v>88</v>
      </c>
      <c r="J231">
        <v>39</v>
      </c>
      <c r="K231">
        <v>21.808518639999999</v>
      </c>
      <c r="L231">
        <v>2</v>
      </c>
      <c r="M231" t="s">
        <v>97</v>
      </c>
      <c r="N231">
        <v>0</v>
      </c>
      <c r="O231">
        <v>47</v>
      </c>
      <c r="P231">
        <v>20</v>
      </c>
      <c r="Q231">
        <v>111</v>
      </c>
      <c r="R231" t="s">
        <v>877</v>
      </c>
      <c r="S231" s="3" t="s">
        <v>90</v>
      </c>
      <c r="T231" s="3">
        <f t="shared" si="9"/>
        <v>1</v>
      </c>
      <c r="U231" t="s">
        <v>96</v>
      </c>
      <c r="V231" t="s">
        <v>142</v>
      </c>
      <c r="W231" t="s">
        <v>195</v>
      </c>
      <c r="X231">
        <v>0</v>
      </c>
      <c r="Y231" t="s">
        <v>143</v>
      </c>
      <c r="Z231" t="s">
        <v>190</v>
      </c>
      <c r="AA231" t="s">
        <v>43</v>
      </c>
      <c r="AB231" t="s">
        <v>81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 t="s">
        <v>876</v>
      </c>
      <c r="AK231" t="s">
        <v>65</v>
      </c>
      <c r="AL231" t="s">
        <v>66</v>
      </c>
      <c r="AM231" t="str">
        <f t="shared" si="10"/>
        <v>2024-2027</v>
      </c>
      <c r="AN231">
        <f t="shared" si="11"/>
        <v>3</v>
      </c>
    </row>
    <row r="232" spans="1:40" x14ac:dyDescent="0.2">
      <c r="A232">
        <v>231</v>
      </c>
      <c r="B232" t="s">
        <v>878</v>
      </c>
      <c r="C232" t="s">
        <v>1717</v>
      </c>
      <c r="D232" t="s">
        <v>123</v>
      </c>
      <c r="E232" t="s">
        <v>98</v>
      </c>
      <c r="F232" t="s">
        <v>99</v>
      </c>
      <c r="G232">
        <v>84</v>
      </c>
      <c r="H232">
        <v>51.065880859999993</v>
      </c>
      <c r="I232" t="s">
        <v>88</v>
      </c>
      <c r="J232">
        <v>39</v>
      </c>
      <c r="K232">
        <v>22.828469890000001</v>
      </c>
      <c r="L232">
        <v>9</v>
      </c>
      <c r="M232" t="s">
        <v>119</v>
      </c>
      <c r="N232">
        <v>8</v>
      </c>
      <c r="O232">
        <v>113</v>
      </c>
      <c r="P232">
        <v>316</v>
      </c>
      <c r="Q232">
        <v>112</v>
      </c>
      <c r="R232" t="s">
        <v>880</v>
      </c>
      <c r="S232" s="3" t="s">
        <v>90</v>
      </c>
      <c r="T232" s="3">
        <f t="shared" si="9"/>
        <v>1</v>
      </c>
      <c r="U232" t="s">
        <v>96</v>
      </c>
      <c r="V232" t="s">
        <v>142</v>
      </c>
      <c r="W232" t="s">
        <v>220</v>
      </c>
      <c r="X232">
        <v>0</v>
      </c>
      <c r="Y232" t="s">
        <v>41</v>
      </c>
      <c r="Z232" t="s">
        <v>219</v>
      </c>
      <c r="AA232" t="s">
        <v>63</v>
      </c>
      <c r="AB232" t="s">
        <v>317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 t="s">
        <v>879</v>
      </c>
      <c r="AK232" t="s">
        <v>65</v>
      </c>
      <c r="AL232" t="s">
        <v>66</v>
      </c>
      <c r="AM232" t="str">
        <f t="shared" si="10"/>
        <v>2024-2027</v>
      </c>
      <c r="AN232">
        <f t="shared" si="11"/>
        <v>3</v>
      </c>
    </row>
    <row r="233" spans="1:40" x14ac:dyDescent="0.2">
      <c r="A233">
        <v>232</v>
      </c>
      <c r="B233" t="s">
        <v>881</v>
      </c>
      <c r="C233" t="s">
        <v>1718</v>
      </c>
      <c r="D233" t="s">
        <v>60</v>
      </c>
      <c r="E233" t="s">
        <v>150</v>
      </c>
      <c r="F233" t="s">
        <v>151</v>
      </c>
      <c r="G233">
        <v>145</v>
      </c>
      <c r="H233">
        <v>81.921627260000008</v>
      </c>
      <c r="I233" t="s">
        <v>140</v>
      </c>
      <c r="J233">
        <v>71</v>
      </c>
      <c r="K233">
        <v>24.557089523999998</v>
      </c>
      <c r="L233">
        <v>20</v>
      </c>
      <c r="M233" t="s">
        <v>67</v>
      </c>
      <c r="N233">
        <v>40</v>
      </c>
      <c r="O233">
        <v>171</v>
      </c>
      <c r="P233">
        <v>1379</v>
      </c>
      <c r="Q233">
        <v>113</v>
      </c>
      <c r="R233" t="s">
        <v>883</v>
      </c>
      <c r="S233" s="3" t="s">
        <v>90</v>
      </c>
      <c r="T233" s="3">
        <f t="shared" si="9"/>
        <v>1</v>
      </c>
      <c r="U233" t="s">
        <v>96</v>
      </c>
      <c r="V233" t="s">
        <v>142</v>
      </c>
      <c r="W233" t="s">
        <v>148</v>
      </c>
      <c r="X233">
        <v>0</v>
      </c>
      <c r="Y233" t="s">
        <v>143</v>
      </c>
      <c r="Z233" t="s">
        <v>144</v>
      </c>
      <c r="AA233" t="s">
        <v>224</v>
      </c>
      <c r="AB233" t="s">
        <v>234</v>
      </c>
      <c r="AC233">
        <v>3</v>
      </c>
      <c r="AD233">
        <v>1</v>
      </c>
      <c r="AE233">
        <v>1</v>
      </c>
      <c r="AF233">
        <v>1</v>
      </c>
      <c r="AG233">
        <v>0</v>
      </c>
      <c r="AH233">
        <v>0</v>
      </c>
      <c r="AI233">
        <v>0</v>
      </c>
      <c r="AJ233" t="s">
        <v>882</v>
      </c>
      <c r="AK233" t="s">
        <v>109</v>
      </c>
      <c r="AL233" t="s">
        <v>110</v>
      </c>
      <c r="AM233" t="str">
        <f t="shared" si="10"/>
        <v>2014-2020</v>
      </c>
      <c r="AN233">
        <f t="shared" si="11"/>
        <v>6</v>
      </c>
    </row>
    <row r="234" spans="1:40" x14ac:dyDescent="0.2">
      <c r="A234">
        <v>233</v>
      </c>
      <c r="B234" t="s">
        <v>884</v>
      </c>
      <c r="C234" t="s">
        <v>1717</v>
      </c>
      <c r="D234" t="s">
        <v>114</v>
      </c>
      <c r="E234" t="s">
        <v>68</v>
      </c>
      <c r="F234" t="s">
        <v>471</v>
      </c>
      <c r="G234">
        <v>79</v>
      </c>
      <c r="H234">
        <v>38.661508979999979</v>
      </c>
      <c r="I234" t="s">
        <v>470</v>
      </c>
      <c r="J234">
        <v>48</v>
      </c>
      <c r="K234">
        <v>15.81442415000001</v>
      </c>
      <c r="L234">
        <v>20</v>
      </c>
      <c r="M234" t="s">
        <v>67</v>
      </c>
      <c r="N234">
        <v>41</v>
      </c>
      <c r="O234">
        <v>150</v>
      </c>
      <c r="P234">
        <v>1369</v>
      </c>
      <c r="Q234">
        <v>113</v>
      </c>
      <c r="R234" t="s">
        <v>883</v>
      </c>
      <c r="S234" s="3" t="s">
        <v>90</v>
      </c>
      <c r="T234" s="3">
        <f t="shared" si="9"/>
        <v>1</v>
      </c>
      <c r="U234" t="s">
        <v>96</v>
      </c>
      <c r="V234" t="s">
        <v>142</v>
      </c>
      <c r="W234" t="s">
        <v>148</v>
      </c>
      <c r="X234">
        <v>0</v>
      </c>
      <c r="Y234" t="s">
        <v>143</v>
      </c>
      <c r="Z234" t="s">
        <v>144</v>
      </c>
      <c r="AA234" t="s">
        <v>224</v>
      </c>
      <c r="AB234" t="s">
        <v>234</v>
      </c>
      <c r="AC234">
        <v>3</v>
      </c>
      <c r="AD234">
        <v>0</v>
      </c>
      <c r="AE234">
        <v>0</v>
      </c>
      <c r="AF234">
        <v>0</v>
      </c>
      <c r="AG234">
        <v>1</v>
      </c>
      <c r="AH234">
        <v>1</v>
      </c>
      <c r="AI234">
        <v>1</v>
      </c>
      <c r="AJ234" t="s">
        <v>885</v>
      </c>
      <c r="AK234" t="s">
        <v>269</v>
      </c>
      <c r="AL234" t="s">
        <v>270</v>
      </c>
      <c r="AM234" t="str">
        <f t="shared" si="10"/>
        <v>2020-2027</v>
      </c>
      <c r="AN234">
        <f t="shared" si="11"/>
        <v>7</v>
      </c>
    </row>
    <row r="235" spans="1:40" x14ac:dyDescent="0.2">
      <c r="A235">
        <v>234</v>
      </c>
      <c r="B235" t="s">
        <v>886</v>
      </c>
      <c r="C235" t="s">
        <v>1718</v>
      </c>
      <c r="D235" t="s">
        <v>60</v>
      </c>
      <c r="E235" t="s">
        <v>68</v>
      </c>
      <c r="F235" t="s">
        <v>890</v>
      </c>
      <c r="G235">
        <v>112</v>
      </c>
      <c r="H235">
        <v>49.647089753000003</v>
      </c>
      <c r="I235" t="s">
        <v>888</v>
      </c>
      <c r="J235">
        <v>62</v>
      </c>
      <c r="K235">
        <v>34.330286715999989</v>
      </c>
      <c r="L235">
        <v>30</v>
      </c>
      <c r="M235" t="s">
        <v>49</v>
      </c>
      <c r="N235">
        <v>55</v>
      </c>
      <c r="O235">
        <v>160</v>
      </c>
      <c r="P235">
        <v>2653</v>
      </c>
      <c r="Q235">
        <v>114</v>
      </c>
      <c r="R235" t="s">
        <v>889</v>
      </c>
      <c r="S235" s="3">
        <v>3</v>
      </c>
      <c r="T235" s="3">
        <f t="shared" si="9"/>
        <v>1</v>
      </c>
      <c r="U235" t="s">
        <v>149</v>
      </c>
      <c r="V235" t="s">
        <v>142</v>
      </c>
      <c r="W235" t="s">
        <v>148</v>
      </c>
      <c r="X235">
        <v>0</v>
      </c>
      <c r="Y235" t="s">
        <v>143</v>
      </c>
      <c r="Z235" t="s">
        <v>144</v>
      </c>
      <c r="AA235" t="s">
        <v>43</v>
      </c>
      <c r="AB235" t="s">
        <v>81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 t="s">
        <v>887</v>
      </c>
      <c r="AK235" t="s">
        <v>65</v>
      </c>
      <c r="AL235" t="s">
        <v>66</v>
      </c>
      <c r="AM235" t="str">
        <f t="shared" si="10"/>
        <v>2024-2027</v>
      </c>
      <c r="AN235">
        <f t="shared" si="11"/>
        <v>3</v>
      </c>
    </row>
    <row r="236" spans="1:40" x14ac:dyDescent="0.2">
      <c r="A236">
        <v>235</v>
      </c>
      <c r="B236" t="s">
        <v>891</v>
      </c>
      <c r="C236" t="s">
        <v>1718</v>
      </c>
      <c r="D236" t="s">
        <v>60</v>
      </c>
      <c r="E236" t="s">
        <v>68</v>
      </c>
      <c r="F236" t="s">
        <v>69</v>
      </c>
      <c r="G236">
        <v>2</v>
      </c>
      <c r="H236">
        <v>0.74866903000000007</v>
      </c>
      <c r="I236" t="s">
        <v>61</v>
      </c>
      <c r="J236">
        <v>2</v>
      </c>
      <c r="K236">
        <v>0.60851732000000003</v>
      </c>
      <c r="L236">
        <v>0</v>
      </c>
      <c r="M236" t="s">
        <v>137</v>
      </c>
      <c r="N236">
        <v>0</v>
      </c>
      <c r="O236">
        <v>2</v>
      </c>
      <c r="P236">
        <v>0</v>
      </c>
      <c r="Q236">
        <v>114</v>
      </c>
      <c r="R236" t="s">
        <v>889</v>
      </c>
      <c r="S236" s="3">
        <v>3</v>
      </c>
      <c r="T236" s="3">
        <f t="shared" si="9"/>
        <v>1</v>
      </c>
      <c r="U236" t="s">
        <v>149</v>
      </c>
      <c r="V236" t="s">
        <v>142</v>
      </c>
      <c r="W236" t="s">
        <v>148</v>
      </c>
      <c r="X236">
        <v>0</v>
      </c>
      <c r="Y236" t="s">
        <v>143</v>
      </c>
      <c r="Z236" t="s">
        <v>144</v>
      </c>
      <c r="AA236" t="s">
        <v>43</v>
      </c>
      <c r="AB236" t="s">
        <v>81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 t="s">
        <v>892</v>
      </c>
      <c r="AK236" t="s">
        <v>125</v>
      </c>
      <c r="AL236" t="s">
        <v>126</v>
      </c>
      <c r="AM236" t="str">
        <f t="shared" si="10"/>
        <v>2022-2024</v>
      </c>
      <c r="AN236">
        <f t="shared" si="11"/>
        <v>2</v>
      </c>
    </row>
    <row r="237" spans="1:40" x14ac:dyDescent="0.2">
      <c r="A237">
        <v>236</v>
      </c>
      <c r="B237" t="s">
        <v>893</v>
      </c>
      <c r="C237" t="s">
        <v>1718</v>
      </c>
      <c r="D237" t="s">
        <v>123</v>
      </c>
      <c r="E237" t="s">
        <v>68</v>
      </c>
      <c r="F237" t="s">
        <v>896</v>
      </c>
      <c r="G237">
        <v>172</v>
      </c>
      <c r="H237">
        <v>95.633628010000066</v>
      </c>
      <c r="I237" t="s">
        <v>895</v>
      </c>
      <c r="J237">
        <v>74</v>
      </c>
      <c r="K237">
        <v>31.16901914</v>
      </c>
      <c r="L237">
        <v>16</v>
      </c>
      <c r="M237" t="s">
        <v>67</v>
      </c>
      <c r="N237">
        <v>34</v>
      </c>
      <c r="O237">
        <v>227</v>
      </c>
      <c r="P237">
        <v>1143</v>
      </c>
      <c r="Q237">
        <v>115</v>
      </c>
      <c r="R237" t="s">
        <v>897</v>
      </c>
      <c r="S237" s="3">
        <v>5</v>
      </c>
      <c r="T237" s="3">
        <f t="shared" si="9"/>
        <v>1</v>
      </c>
      <c r="U237" t="s">
        <v>96</v>
      </c>
      <c r="V237" t="s">
        <v>142</v>
      </c>
      <c r="W237" t="s">
        <v>220</v>
      </c>
      <c r="X237">
        <v>0</v>
      </c>
      <c r="Y237" t="s">
        <v>41</v>
      </c>
      <c r="Z237" t="s">
        <v>219</v>
      </c>
      <c r="AA237" t="s">
        <v>43</v>
      </c>
      <c r="AB237" t="s">
        <v>81</v>
      </c>
      <c r="AC237">
        <v>6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 t="s">
        <v>894</v>
      </c>
      <c r="AK237" t="s">
        <v>775</v>
      </c>
      <c r="AL237" t="s">
        <v>776</v>
      </c>
      <c r="AM237" t="str">
        <f t="shared" si="10"/>
        <v>2014-2027</v>
      </c>
      <c r="AN237">
        <f t="shared" si="11"/>
        <v>13</v>
      </c>
    </row>
    <row r="238" spans="1:40" x14ac:dyDescent="0.2">
      <c r="A238">
        <v>237</v>
      </c>
      <c r="B238" t="s">
        <v>898</v>
      </c>
      <c r="C238" t="s">
        <v>1718</v>
      </c>
      <c r="D238" t="s">
        <v>248</v>
      </c>
      <c r="E238" t="s">
        <v>98</v>
      </c>
      <c r="F238" t="s">
        <v>99</v>
      </c>
      <c r="G238">
        <v>25</v>
      </c>
      <c r="H238">
        <v>10.83372086</v>
      </c>
      <c r="I238" t="s">
        <v>88</v>
      </c>
      <c r="J238">
        <v>21</v>
      </c>
      <c r="K238">
        <v>10.68515217</v>
      </c>
      <c r="L238">
        <v>4</v>
      </c>
      <c r="M238" t="s">
        <v>97</v>
      </c>
      <c r="N238">
        <v>3</v>
      </c>
      <c r="O238">
        <v>46</v>
      </c>
      <c r="P238">
        <v>85</v>
      </c>
      <c r="Q238">
        <v>115</v>
      </c>
      <c r="R238" t="s">
        <v>897</v>
      </c>
      <c r="S238" s="3">
        <v>5</v>
      </c>
      <c r="T238" s="3">
        <f t="shared" si="9"/>
        <v>1</v>
      </c>
      <c r="U238" t="s">
        <v>96</v>
      </c>
      <c r="V238" t="s">
        <v>142</v>
      </c>
      <c r="W238" t="s">
        <v>220</v>
      </c>
      <c r="X238">
        <v>0</v>
      </c>
      <c r="Y238" t="s">
        <v>41</v>
      </c>
      <c r="Z238" t="s">
        <v>219</v>
      </c>
      <c r="AA238" t="s">
        <v>43</v>
      </c>
      <c r="AB238" t="s">
        <v>81</v>
      </c>
      <c r="AC238">
        <v>2</v>
      </c>
      <c r="AD238">
        <v>1</v>
      </c>
      <c r="AE238">
        <v>1</v>
      </c>
      <c r="AF238">
        <v>0</v>
      </c>
      <c r="AG238">
        <v>0</v>
      </c>
      <c r="AH238">
        <v>0</v>
      </c>
      <c r="AI238">
        <v>0</v>
      </c>
      <c r="AJ238" t="s">
        <v>899</v>
      </c>
      <c r="AK238" t="s">
        <v>74</v>
      </c>
      <c r="AL238" t="s">
        <v>75</v>
      </c>
      <c r="AM238" t="str">
        <f t="shared" si="10"/>
        <v>2014-2018</v>
      </c>
      <c r="AN238">
        <f t="shared" si="11"/>
        <v>4</v>
      </c>
    </row>
    <row r="239" spans="1:40" x14ac:dyDescent="0.2">
      <c r="A239">
        <v>238</v>
      </c>
      <c r="B239" t="s">
        <v>900</v>
      </c>
      <c r="C239" t="s">
        <v>1718</v>
      </c>
      <c r="D239" t="s">
        <v>60</v>
      </c>
      <c r="E239" t="s">
        <v>150</v>
      </c>
      <c r="F239" t="s">
        <v>151</v>
      </c>
      <c r="G239">
        <v>229</v>
      </c>
      <c r="H239">
        <v>155.77690817999999</v>
      </c>
      <c r="I239" t="s">
        <v>140</v>
      </c>
      <c r="J239">
        <v>109</v>
      </c>
      <c r="K239">
        <v>29.605239260999991</v>
      </c>
      <c r="L239">
        <v>33</v>
      </c>
      <c r="M239" t="s">
        <v>49</v>
      </c>
      <c r="N239">
        <v>101</v>
      </c>
      <c r="O239">
        <v>253</v>
      </c>
      <c r="P239">
        <v>5105</v>
      </c>
      <c r="Q239">
        <v>116</v>
      </c>
      <c r="R239" t="s">
        <v>902</v>
      </c>
      <c r="S239" s="3" t="s">
        <v>141</v>
      </c>
      <c r="T239" s="3">
        <f t="shared" si="9"/>
        <v>1</v>
      </c>
      <c r="U239" t="s">
        <v>149</v>
      </c>
      <c r="V239" t="s">
        <v>142</v>
      </c>
      <c r="W239" t="s">
        <v>148</v>
      </c>
      <c r="X239">
        <v>0</v>
      </c>
      <c r="Y239" t="s">
        <v>143</v>
      </c>
      <c r="Z239" t="s">
        <v>144</v>
      </c>
      <c r="AA239" t="s">
        <v>43</v>
      </c>
      <c r="AB239" t="s">
        <v>81</v>
      </c>
      <c r="AC239">
        <v>1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 t="s">
        <v>901</v>
      </c>
      <c r="AK239" t="s">
        <v>320</v>
      </c>
      <c r="AL239" t="s">
        <v>321</v>
      </c>
      <c r="AM239" t="str">
        <f t="shared" si="10"/>
        <v>2016-2018</v>
      </c>
      <c r="AN239">
        <f t="shared" si="11"/>
        <v>2</v>
      </c>
    </row>
    <row r="240" spans="1:40" x14ac:dyDescent="0.2">
      <c r="A240">
        <v>239</v>
      </c>
      <c r="B240" t="s">
        <v>903</v>
      </c>
      <c r="C240" t="s">
        <v>1718</v>
      </c>
      <c r="D240" t="s">
        <v>114</v>
      </c>
      <c r="E240" t="s">
        <v>50</v>
      </c>
      <c r="F240" t="s">
        <v>120</v>
      </c>
      <c r="G240">
        <v>26</v>
      </c>
      <c r="H240">
        <v>11.402318279999999</v>
      </c>
      <c r="I240" t="s">
        <v>115</v>
      </c>
      <c r="J240">
        <v>16</v>
      </c>
      <c r="K240">
        <v>1.845248295</v>
      </c>
      <c r="L240">
        <v>7</v>
      </c>
      <c r="M240" t="s">
        <v>119</v>
      </c>
      <c r="N240">
        <v>4</v>
      </c>
      <c r="O240">
        <v>44</v>
      </c>
      <c r="P240">
        <v>174</v>
      </c>
      <c r="Q240">
        <v>116</v>
      </c>
      <c r="R240" t="s">
        <v>902</v>
      </c>
      <c r="S240" s="3" t="s">
        <v>141</v>
      </c>
      <c r="T240" s="3">
        <f t="shared" si="9"/>
        <v>1</v>
      </c>
      <c r="U240" t="s">
        <v>149</v>
      </c>
      <c r="V240" t="s">
        <v>142</v>
      </c>
      <c r="W240" t="s">
        <v>148</v>
      </c>
      <c r="X240">
        <v>0</v>
      </c>
      <c r="Y240" t="s">
        <v>143</v>
      </c>
      <c r="Z240" t="s">
        <v>144</v>
      </c>
      <c r="AA240" t="s">
        <v>43</v>
      </c>
      <c r="AB240" t="s">
        <v>81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 t="s">
        <v>904</v>
      </c>
      <c r="AK240" t="s">
        <v>202</v>
      </c>
      <c r="AL240" t="s">
        <v>203</v>
      </c>
      <c r="AM240" t="str">
        <f t="shared" si="10"/>
        <v>2018-2020</v>
      </c>
      <c r="AN240">
        <f t="shared" si="11"/>
        <v>2</v>
      </c>
    </row>
    <row r="241" spans="1:40" x14ac:dyDescent="0.2">
      <c r="A241">
        <v>240</v>
      </c>
      <c r="B241" t="s">
        <v>905</v>
      </c>
      <c r="C241" t="s">
        <v>1718</v>
      </c>
      <c r="D241" t="s">
        <v>60</v>
      </c>
      <c r="E241" t="s">
        <v>68</v>
      </c>
      <c r="F241" t="s">
        <v>890</v>
      </c>
      <c r="G241">
        <v>174</v>
      </c>
      <c r="H241">
        <v>110.02089798999999</v>
      </c>
      <c r="I241" t="s">
        <v>888</v>
      </c>
      <c r="J241">
        <v>127</v>
      </c>
      <c r="K241">
        <v>61.253680259999982</v>
      </c>
      <c r="L241">
        <v>34</v>
      </c>
      <c r="M241" t="s">
        <v>49</v>
      </c>
      <c r="N241">
        <v>81</v>
      </c>
      <c r="O241">
        <v>189</v>
      </c>
      <c r="P241">
        <v>3383</v>
      </c>
      <c r="Q241">
        <v>117</v>
      </c>
      <c r="R241" t="s">
        <v>907</v>
      </c>
      <c r="S241" s="3" t="s">
        <v>141</v>
      </c>
      <c r="T241" s="3">
        <f t="shared" si="9"/>
        <v>1</v>
      </c>
      <c r="U241" t="s">
        <v>149</v>
      </c>
      <c r="V241" t="s">
        <v>142</v>
      </c>
      <c r="W241" t="s">
        <v>162</v>
      </c>
      <c r="X241">
        <v>0</v>
      </c>
      <c r="Y241" t="s">
        <v>41</v>
      </c>
      <c r="Z241" t="s">
        <v>167</v>
      </c>
      <c r="AA241" t="s">
        <v>43</v>
      </c>
      <c r="AB241" t="s">
        <v>81</v>
      </c>
      <c r="AC241">
        <v>2</v>
      </c>
      <c r="AD241">
        <v>0</v>
      </c>
      <c r="AE241">
        <v>0</v>
      </c>
      <c r="AF241">
        <v>0</v>
      </c>
      <c r="AG241">
        <v>1</v>
      </c>
      <c r="AH241">
        <v>1</v>
      </c>
      <c r="AI241">
        <v>0</v>
      </c>
      <c r="AJ241" t="s">
        <v>906</v>
      </c>
      <c r="AK241" t="s">
        <v>213</v>
      </c>
      <c r="AL241" t="s">
        <v>214</v>
      </c>
      <c r="AM241" t="str">
        <f t="shared" si="10"/>
        <v>2020-2024</v>
      </c>
      <c r="AN241">
        <f t="shared" si="11"/>
        <v>4</v>
      </c>
    </row>
    <row r="242" spans="1:40" x14ac:dyDescent="0.2">
      <c r="A242">
        <v>241</v>
      </c>
      <c r="B242" t="s">
        <v>908</v>
      </c>
      <c r="C242" t="s">
        <v>1717</v>
      </c>
      <c r="D242" t="s">
        <v>37</v>
      </c>
      <c r="E242" t="s">
        <v>476</v>
      </c>
      <c r="F242" t="s">
        <v>583</v>
      </c>
      <c r="G242">
        <v>24</v>
      </c>
      <c r="H242">
        <v>6.2363143909999996</v>
      </c>
      <c r="I242" t="s">
        <v>580</v>
      </c>
      <c r="J242">
        <v>12</v>
      </c>
      <c r="K242">
        <v>2.8547970399999998</v>
      </c>
      <c r="L242">
        <v>3</v>
      </c>
      <c r="M242" t="s">
        <v>97</v>
      </c>
      <c r="N242">
        <v>1</v>
      </c>
      <c r="O242">
        <v>36</v>
      </c>
      <c r="P242">
        <v>46</v>
      </c>
      <c r="Q242">
        <v>117</v>
      </c>
      <c r="R242" t="s">
        <v>907</v>
      </c>
      <c r="S242" s="3" t="s">
        <v>141</v>
      </c>
      <c r="T242" s="3">
        <f t="shared" si="9"/>
        <v>1</v>
      </c>
      <c r="U242" t="s">
        <v>149</v>
      </c>
      <c r="V242" t="s">
        <v>142</v>
      </c>
      <c r="W242" t="s">
        <v>162</v>
      </c>
      <c r="X242">
        <v>0</v>
      </c>
      <c r="Y242" t="s">
        <v>41</v>
      </c>
      <c r="Z242" t="s">
        <v>167</v>
      </c>
      <c r="AA242" t="s">
        <v>43</v>
      </c>
      <c r="AB242" t="s">
        <v>81</v>
      </c>
      <c r="AC242">
        <v>1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 t="s">
        <v>909</v>
      </c>
      <c r="AK242" t="s">
        <v>202</v>
      </c>
      <c r="AL242" t="s">
        <v>203</v>
      </c>
      <c r="AM242" t="str">
        <f t="shared" si="10"/>
        <v>2018-2020</v>
      </c>
      <c r="AN242">
        <f t="shared" si="11"/>
        <v>2</v>
      </c>
    </row>
    <row r="243" spans="1:40" x14ac:dyDescent="0.2">
      <c r="A243">
        <v>242</v>
      </c>
      <c r="B243" t="s">
        <v>910</v>
      </c>
      <c r="C243" t="s">
        <v>1718</v>
      </c>
      <c r="D243" t="s">
        <v>231</v>
      </c>
      <c r="E243" t="s">
        <v>98</v>
      </c>
      <c r="F243" t="s">
        <v>99</v>
      </c>
      <c r="G243">
        <v>108</v>
      </c>
      <c r="H243">
        <v>45.529296180000003</v>
      </c>
      <c r="I243" t="s">
        <v>88</v>
      </c>
      <c r="J243">
        <v>116</v>
      </c>
      <c r="K243">
        <v>61.580254560000007</v>
      </c>
      <c r="L243">
        <v>5</v>
      </c>
      <c r="M243" t="s">
        <v>119</v>
      </c>
      <c r="N243">
        <v>2</v>
      </c>
      <c r="O243">
        <v>181</v>
      </c>
      <c r="P243">
        <v>119</v>
      </c>
      <c r="Q243">
        <v>117</v>
      </c>
      <c r="R243" t="s">
        <v>907</v>
      </c>
      <c r="S243" s="3" t="s">
        <v>141</v>
      </c>
      <c r="T243" s="3">
        <f t="shared" si="9"/>
        <v>1</v>
      </c>
      <c r="U243" t="s">
        <v>149</v>
      </c>
      <c r="V243" t="s">
        <v>142</v>
      </c>
      <c r="W243" t="s">
        <v>162</v>
      </c>
      <c r="X243">
        <v>0</v>
      </c>
      <c r="Y243" t="s">
        <v>41</v>
      </c>
      <c r="Z243" t="s">
        <v>167</v>
      </c>
      <c r="AA243" t="s">
        <v>43</v>
      </c>
      <c r="AB243" t="s">
        <v>81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 t="s">
        <v>911</v>
      </c>
      <c r="AK243" t="s">
        <v>65</v>
      </c>
      <c r="AL243" t="s">
        <v>66</v>
      </c>
      <c r="AM243" t="str">
        <f t="shared" si="10"/>
        <v>2024-2027</v>
      </c>
      <c r="AN243">
        <f t="shared" si="11"/>
        <v>3</v>
      </c>
    </row>
    <row r="244" spans="1:40" x14ac:dyDescent="0.2">
      <c r="A244">
        <v>243</v>
      </c>
      <c r="B244" t="s">
        <v>912</v>
      </c>
      <c r="C244" t="s">
        <v>1717</v>
      </c>
      <c r="D244" t="s">
        <v>72</v>
      </c>
      <c r="E244" t="s">
        <v>50</v>
      </c>
      <c r="F244" t="s">
        <v>76</v>
      </c>
      <c r="G244">
        <v>44</v>
      </c>
      <c r="H244">
        <v>15.08534646</v>
      </c>
      <c r="I244" t="s">
        <v>73</v>
      </c>
      <c r="J244">
        <v>32</v>
      </c>
      <c r="K244">
        <v>11.993830858999999</v>
      </c>
      <c r="L244">
        <v>14</v>
      </c>
      <c r="M244" t="s">
        <v>67</v>
      </c>
      <c r="N244">
        <v>19</v>
      </c>
      <c r="O244">
        <v>63</v>
      </c>
      <c r="P244">
        <v>666</v>
      </c>
      <c r="Q244">
        <v>118</v>
      </c>
      <c r="R244" t="s">
        <v>914</v>
      </c>
      <c r="S244" s="3" t="s">
        <v>90</v>
      </c>
      <c r="T244" s="3">
        <f t="shared" si="9"/>
        <v>1</v>
      </c>
      <c r="U244" t="s">
        <v>96</v>
      </c>
      <c r="V244" t="s">
        <v>142</v>
      </c>
      <c r="W244" t="s">
        <v>148</v>
      </c>
      <c r="X244">
        <v>0</v>
      </c>
      <c r="Y244" t="s">
        <v>143</v>
      </c>
      <c r="Z244" t="s">
        <v>144</v>
      </c>
      <c r="AA244" t="s">
        <v>43</v>
      </c>
      <c r="AB244" t="s">
        <v>118</v>
      </c>
      <c r="AC244">
        <v>5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0</v>
      </c>
      <c r="AJ244" t="s">
        <v>913</v>
      </c>
      <c r="AK244" t="s">
        <v>255</v>
      </c>
      <c r="AL244" t="s">
        <v>256</v>
      </c>
      <c r="AM244" t="str">
        <f t="shared" si="10"/>
        <v>2014-2024</v>
      </c>
      <c r="AN244">
        <f t="shared" si="11"/>
        <v>10</v>
      </c>
    </row>
    <row r="245" spans="1:40" x14ac:dyDescent="0.2">
      <c r="A245">
        <v>244</v>
      </c>
      <c r="B245" t="s">
        <v>915</v>
      </c>
      <c r="C245" t="s">
        <v>1717</v>
      </c>
      <c r="D245" t="s">
        <v>186</v>
      </c>
      <c r="E245" t="s">
        <v>98</v>
      </c>
      <c r="F245" t="s">
        <v>99</v>
      </c>
      <c r="G245">
        <v>44</v>
      </c>
      <c r="H245">
        <v>13.96194713</v>
      </c>
      <c r="I245" t="s">
        <v>88</v>
      </c>
      <c r="J245">
        <v>44</v>
      </c>
      <c r="K245">
        <v>24.336855109999991</v>
      </c>
      <c r="L245">
        <v>5</v>
      </c>
      <c r="M245" t="s">
        <v>119</v>
      </c>
      <c r="N245">
        <v>4</v>
      </c>
      <c r="O245">
        <v>91</v>
      </c>
      <c r="P245">
        <v>123</v>
      </c>
      <c r="Q245">
        <v>119</v>
      </c>
      <c r="R245" t="s">
        <v>917</v>
      </c>
      <c r="S245" s="3" t="s">
        <v>90</v>
      </c>
      <c r="T245" s="3">
        <f t="shared" si="9"/>
        <v>1</v>
      </c>
      <c r="U245" t="s">
        <v>96</v>
      </c>
      <c r="V245" t="s">
        <v>142</v>
      </c>
      <c r="W245" t="s">
        <v>220</v>
      </c>
      <c r="X245">
        <v>0</v>
      </c>
      <c r="Y245" t="s">
        <v>41</v>
      </c>
      <c r="Z245" t="s">
        <v>219</v>
      </c>
      <c r="AA245" t="s">
        <v>63</v>
      </c>
      <c r="AB245" t="s">
        <v>64</v>
      </c>
      <c r="AC245">
        <v>4</v>
      </c>
      <c r="AD245">
        <v>0</v>
      </c>
      <c r="AE245">
        <v>0</v>
      </c>
      <c r="AF245">
        <v>1</v>
      </c>
      <c r="AG245">
        <v>1</v>
      </c>
      <c r="AH245">
        <v>1</v>
      </c>
      <c r="AI245">
        <v>1</v>
      </c>
      <c r="AJ245" t="s">
        <v>916</v>
      </c>
      <c r="AK245" t="s">
        <v>146</v>
      </c>
      <c r="AL245" t="s">
        <v>147</v>
      </c>
      <c r="AM245" t="str">
        <f t="shared" si="10"/>
        <v>2018-2027</v>
      </c>
      <c r="AN245">
        <f t="shared" si="11"/>
        <v>9</v>
      </c>
    </row>
    <row r="246" spans="1:40" x14ac:dyDescent="0.2">
      <c r="A246">
        <v>245</v>
      </c>
      <c r="B246" t="s">
        <v>918</v>
      </c>
      <c r="C246" t="s">
        <v>1718</v>
      </c>
      <c r="D246" t="s">
        <v>114</v>
      </c>
      <c r="E246" t="s">
        <v>68</v>
      </c>
      <c r="F246" t="s">
        <v>84</v>
      </c>
      <c r="G246">
        <v>60</v>
      </c>
      <c r="H246">
        <v>30.629661609999999</v>
      </c>
      <c r="I246" t="s">
        <v>80</v>
      </c>
      <c r="J246">
        <v>45</v>
      </c>
      <c r="K246">
        <v>10.671940874000001</v>
      </c>
      <c r="L246">
        <v>28</v>
      </c>
      <c r="M246" t="s">
        <v>49</v>
      </c>
      <c r="N246">
        <v>54</v>
      </c>
      <c r="O246">
        <v>98</v>
      </c>
      <c r="P246">
        <v>3019</v>
      </c>
      <c r="Q246">
        <v>120</v>
      </c>
      <c r="R246" t="s">
        <v>920</v>
      </c>
      <c r="S246" s="3" t="s">
        <v>141</v>
      </c>
      <c r="T246" s="3">
        <f t="shared" si="9"/>
        <v>1</v>
      </c>
      <c r="U246" t="s">
        <v>149</v>
      </c>
      <c r="V246" t="s">
        <v>142</v>
      </c>
      <c r="W246" t="s">
        <v>220</v>
      </c>
      <c r="X246">
        <v>0</v>
      </c>
      <c r="Y246" t="s">
        <v>41</v>
      </c>
      <c r="Z246" t="s">
        <v>219</v>
      </c>
      <c r="AA246" t="s">
        <v>43</v>
      </c>
      <c r="AB246" t="s">
        <v>118</v>
      </c>
      <c r="AC246">
        <v>1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 t="s">
        <v>919</v>
      </c>
      <c r="AK246" t="s">
        <v>202</v>
      </c>
      <c r="AL246" t="s">
        <v>203</v>
      </c>
      <c r="AM246" t="str">
        <f t="shared" si="10"/>
        <v>2018-2020</v>
      </c>
      <c r="AN246">
        <f t="shared" si="11"/>
        <v>2</v>
      </c>
    </row>
    <row r="247" spans="1:40" x14ac:dyDescent="0.2">
      <c r="A247">
        <v>246</v>
      </c>
      <c r="B247" t="s">
        <v>921</v>
      </c>
      <c r="C247" t="s">
        <v>1718</v>
      </c>
      <c r="D247" t="s">
        <v>72</v>
      </c>
      <c r="E247" t="s">
        <v>68</v>
      </c>
      <c r="F247" t="s">
        <v>362</v>
      </c>
      <c r="G247">
        <v>62</v>
      </c>
      <c r="H247">
        <v>27.621399475</v>
      </c>
      <c r="I247" t="s">
        <v>357</v>
      </c>
      <c r="J247">
        <v>56</v>
      </c>
      <c r="K247">
        <v>25.608834487999999</v>
      </c>
      <c r="L247">
        <v>25</v>
      </c>
      <c r="M247" t="s">
        <v>49</v>
      </c>
      <c r="N247">
        <v>36</v>
      </c>
      <c r="O247">
        <v>70</v>
      </c>
      <c r="P247">
        <v>1667</v>
      </c>
      <c r="Q247">
        <v>120</v>
      </c>
      <c r="R247" t="s">
        <v>920</v>
      </c>
      <c r="S247" s="3" t="s">
        <v>141</v>
      </c>
      <c r="T247" s="3">
        <f t="shared" si="9"/>
        <v>1</v>
      </c>
      <c r="U247" t="s">
        <v>149</v>
      </c>
      <c r="V247" t="s">
        <v>142</v>
      </c>
      <c r="W247" t="s">
        <v>220</v>
      </c>
      <c r="X247">
        <v>0</v>
      </c>
      <c r="Y247" t="s">
        <v>41</v>
      </c>
      <c r="Z247" t="s">
        <v>219</v>
      </c>
      <c r="AA247" t="s">
        <v>43</v>
      </c>
      <c r="AB247" t="s">
        <v>118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 t="s">
        <v>922</v>
      </c>
      <c r="AK247" t="s">
        <v>65</v>
      </c>
      <c r="AL247" t="s">
        <v>66</v>
      </c>
      <c r="AM247" t="str">
        <f t="shared" si="10"/>
        <v>2024-2027</v>
      </c>
      <c r="AN247">
        <f t="shared" si="11"/>
        <v>3</v>
      </c>
    </row>
    <row r="248" spans="1:40" x14ac:dyDescent="0.2">
      <c r="A248">
        <v>247</v>
      </c>
      <c r="B248" t="s">
        <v>925</v>
      </c>
      <c r="C248" t="s">
        <v>1717</v>
      </c>
      <c r="D248" t="s">
        <v>394</v>
      </c>
      <c r="E248" t="s">
        <v>98</v>
      </c>
      <c r="F248" t="s">
        <v>99</v>
      </c>
      <c r="G248">
        <v>26</v>
      </c>
      <c r="H248">
        <v>12.33867637</v>
      </c>
      <c r="I248" t="s">
        <v>88</v>
      </c>
      <c r="J248">
        <v>28</v>
      </c>
      <c r="K248">
        <v>15.42519309</v>
      </c>
      <c r="L248">
        <v>1</v>
      </c>
      <c r="M248" t="s">
        <v>137</v>
      </c>
      <c r="N248">
        <v>0</v>
      </c>
      <c r="O248">
        <v>41</v>
      </c>
      <c r="P248">
        <v>13</v>
      </c>
      <c r="Q248">
        <v>121</v>
      </c>
      <c r="R248" t="s">
        <v>924</v>
      </c>
      <c r="S248" s="3">
        <v>5</v>
      </c>
      <c r="T248" s="3">
        <f t="shared" si="9"/>
        <v>1</v>
      </c>
      <c r="U248" t="s">
        <v>96</v>
      </c>
      <c r="V248" t="s">
        <v>142</v>
      </c>
      <c r="W248" t="s">
        <v>220</v>
      </c>
      <c r="X248">
        <v>0</v>
      </c>
      <c r="Y248" t="s">
        <v>41</v>
      </c>
      <c r="Z248" t="s">
        <v>219</v>
      </c>
      <c r="AA248" t="s">
        <v>224</v>
      </c>
      <c r="AB248" t="s">
        <v>346</v>
      </c>
      <c r="AC248">
        <v>2</v>
      </c>
      <c r="AD248">
        <v>0</v>
      </c>
      <c r="AE248">
        <v>1</v>
      </c>
      <c r="AF248">
        <v>1</v>
      </c>
      <c r="AG248">
        <v>0</v>
      </c>
      <c r="AH248">
        <v>0</v>
      </c>
      <c r="AI248">
        <v>0</v>
      </c>
      <c r="AJ248" t="s">
        <v>923</v>
      </c>
      <c r="AK248" t="s">
        <v>156</v>
      </c>
      <c r="AL248" t="s">
        <v>157</v>
      </c>
      <c r="AM248" t="str">
        <f t="shared" si="10"/>
        <v>2016-2020</v>
      </c>
      <c r="AN248">
        <f t="shared" si="11"/>
        <v>4</v>
      </c>
    </row>
    <row r="249" spans="1:40" x14ac:dyDescent="0.2">
      <c r="A249">
        <v>248</v>
      </c>
      <c r="B249" t="s">
        <v>926</v>
      </c>
      <c r="C249" t="s">
        <v>1718</v>
      </c>
      <c r="D249" t="s">
        <v>441</v>
      </c>
      <c r="E249" t="s">
        <v>68</v>
      </c>
      <c r="F249" t="s">
        <v>929</v>
      </c>
      <c r="G249">
        <v>16</v>
      </c>
      <c r="H249">
        <v>7.8220907399999984</v>
      </c>
      <c r="I249" t="s">
        <v>928</v>
      </c>
      <c r="J249">
        <v>14</v>
      </c>
      <c r="K249">
        <v>4.8266333700000006</v>
      </c>
      <c r="L249">
        <v>8</v>
      </c>
      <c r="M249" t="s">
        <v>119</v>
      </c>
      <c r="N249">
        <v>6</v>
      </c>
      <c r="O249">
        <v>35</v>
      </c>
      <c r="P249">
        <v>216</v>
      </c>
      <c r="Q249">
        <v>121</v>
      </c>
      <c r="R249" t="s">
        <v>924</v>
      </c>
      <c r="S249" s="3">
        <v>5</v>
      </c>
      <c r="T249" s="3">
        <f t="shared" si="9"/>
        <v>1</v>
      </c>
      <c r="U249" t="s">
        <v>96</v>
      </c>
      <c r="V249" t="s">
        <v>142</v>
      </c>
      <c r="W249" t="s">
        <v>220</v>
      </c>
      <c r="X249">
        <v>0</v>
      </c>
      <c r="Y249" t="s">
        <v>41</v>
      </c>
      <c r="Z249" t="s">
        <v>219</v>
      </c>
      <c r="AA249" t="s">
        <v>224</v>
      </c>
      <c r="AB249" t="s">
        <v>346</v>
      </c>
      <c r="AC249">
        <v>2</v>
      </c>
      <c r="AD249">
        <v>0</v>
      </c>
      <c r="AE249">
        <v>0</v>
      </c>
      <c r="AF249">
        <v>0</v>
      </c>
      <c r="AG249">
        <v>1</v>
      </c>
      <c r="AH249">
        <v>1</v>
      </c>
      <c r="AI249">
        <v>0</v>
      </c>
      <c r="AJ249" t="s">
        <v>927</v>
      </c>
      <c r="AK249" t="s">
        <v>213</v>
      </c>
      <c r="AL249" t="s">
        <v>214</v>
      </c>
      <c r="AM249" t="str">
        <f t="shared" si="10"/>
        <v>2020-2024</v>
      </c>
      <c r="AN249">
        <f t="shared" si="11"/>
        <v>4</v>
      </c>
    </row>
    <row r="250" spans="1:40" x14ac:dyDescent="0.2">
      <c r="A250">
        <v>249</v>
      </c>
      <c r="B250" t="s">
        <v>930</v>
      </c>
      <c r="C250" t="s">
        <v>1717</v>
      </c>
      <c r="D250" t="s">
        <v>186</v>
      </c>
      <c r="E250" t="s">
        <v>98</v>
      </c>
      <c r="F250" t="s">
        <v>99</v>
      </c>
      <c r="G250">
        <v>16</v>
      </c>
      <c r="H250">
        <v>4.5858190700000003</v>
      </c>
      <c r="I250" t="s">
        <v>88</v>
      </c>
      <c r="J250">
        <v>22</v>
      </c>
      <c r="K250">
        <v>11.569322489999999</v>
      </c>
      <c r="L250">
        <v>2</v>
      </c>
      <c r="M250" t="s">
        <v>97</v>
      </c>
      <c r="N250">
        <v>0</v>
      </c>
      <c r="O250">
        <v>40</v>
      </c>
      <c r="P250">
        <v>15</v>
      </c>
      <c r="Q250">
        <v>121</v>
      </c>
      <c r="R250" t="s">
        <v>924</v>
      </c>
      <c r="S250" s="3">
        <v>5</v>
      </c>
      <c r="T250" s="3">
        <f t="shared" si="9"/>
        <v>1</v>
      </c>
      <c r="U250" t="s">
        <v>96</v>
      </c>
      <c r="V250" t="s">
        <v>142</v>
      </c>
      <c r="W250" t="s">
        <v>220</v>
      </c>
      <c r="X250">
        <v>0</v>
      </c>
      <c r="Y250" t="s">
        <v>41</v>
      </c>
      <c r="Z250" t="s">
        <v>219</v>
      </c>
      <c r="AA250" t="s">
        <v>224</v>
      </c>
      <c r="AB250" t="s">
        <v>346</v>
      </c>
      <c r="AC250">
        <v>2</v>
      </c>
      <c r="AD250">
        <v>1</v>
      </c>
      <c r="AE250">
        <v>1</v>
      </c>
      <c r="AF250">
        <v>0</v>
      </c>
      <c r="AG250">
        <v>0</v>
      </c>
      <c r="AH250">
        <v>0</v>
      </c>
      <c r="AI250">
        <v>0</v>
      </c>
      <c r="AJ250" t="s">
        <v>931</v>
      </c>
      <c r="AK250" t="s">
        <v>82</v>
      </c>
      <c r="AL250" t="s">
        <v>83</v>
      </c>
      <c r="AM250" t="str">
        <f t="shared" si="10"/>
        <v>2014-2016</v>
      </c>
      <c r="AN250">
        <f t="shared" si="11"/>
        <v>2</v>
      </c>
    </row>
    <row r="251" spans="1:40" x14ac:dyDescent="0.2">
      <c r="A251">
        <v>250</v>
      </c>
      <c r="B251" t="s">
        <v>932</v>
      </c>
      <c r="C251" t="s">
        <v>1717</v>
      </c>
      <c r="D251" t="s">
        <v>79</v>
      </c>
      <c r="E251" t="s">
        <v>68</v>
      </c>
      <c r="F251" t="s">
        <v>111</v>
      </c>
      <c r="G251">
        <v>83</v>
      </c>
      <c r="H251">
        <v>56.935678809999999</v>
      </c>
      <c r="I251" t="s">
        <v>108</v>
      </c>
      <c r="J251">
        <v>67</v>
      </c>
      <c r="K251">
        <v>34.940383316999991</v>
      </c>
      <c r="L251">
        <v>23</v>
      </c>
      <c r="M251" t="s">
        <v>49</v>
      </c>
      <c r="N251">
        <v>36</v>
      </c>
      <c r="O251">
        <v>102</v>
      </c>
      <c r="P251">
        <v>1598</v>
      </c>
      <c r="Q251">
        <v>121</v>
      </c>
      <c r="R251" t="s">
        <v>924</v>
      </c>
      <c r="S251" s="3">
        <v>5</v>
      </c>
      <c r="T251" s="3">
        <f t="shared" si="9"/>
        <v>1</v>
      </c>
      <c r="U251" t="s">
        <v>96</v>
      </c>
      <c r="V251" t="s">
        <v>142</v>
      </c>
      <c r="W251" t="s">
        <v>220</v>
      </c>
      <c r="X251">
        <v>0</v>
      </c>
      <c r="Y251" t="s">
        <v>41</v>
      </c>
      <c r="Z251" t="s">
        <v>219</v>
      </c>
      <c r="AA251" t="s">
        <v>224</v>
      </c>
      <c r="AB251" t="s">
        <v>346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 t="s">
        <v>933</v>
      </c>
      <c r="AK251" t="s">
        <v>65</v>
      </c>
      <c r="AL251" t="s">
        <v>66</v>
      </c>
      <c r="AM251" t="str">
        <f t="shared" si="10"/>
        <v>2024-2027</v>
      </c>
      <c r="AN251">
        <f t="shared" si="11"/>
        <v>3</v>
      </c>
    </row>
    <row r="252" spans="1:40" x14ac:dyDescent="0.2">
      <c r="A252">
        <v>251</v>
      </c>
      <c r="B252" t="s">
        <v>934</v>
      </c>
      <c r="C252" t="s">
        <v>1717</v>
      </c>
      <c r="D252" t="s">
        <v>72</v>
      </c>
      <c r="E252" t="s">
        <v>98</v>
      </c>
      <c r="F252" t="s">
        <v>99</v>
      </c>
      <c r="G252">
        <v>20</v>
      </c>
      <c r="H252">
        <v>7.2950105999999986</v>
      </c>
      <c r="I252" t="s">
        <v>88</v>
      </c>
      <c r="J252">
        <v>13</v>
      </c>
      <c r="K252">
        <v>5.9017193299999997</v>
      </c>
      <c r="L252">
        <v>7</v>
      </c>
      <c r="M252" t="s">
        <v>119</v>
      </c>
      <c r="N252">
        <v>4</v>
      </c>
      <c r="O252">
        <v>26</v>
      </c>
      <c r="P252">
        <v>119</v>
      </c>
      <c r="Q252">
        <v>122</v>
      </c>
      <c r="R252" t="s">
        <v>936</v>
      </c>
      <c r="S252" s="3" t="s">
        <v>141</v>
      </c>
      <c r="T252" s="3">
        <f t="shared" si="9"/>
        <v>1</v>
      </c>
      <c r="U252" t="s">
        <v>149</v>
      </c>
      <c r="V252" t="s">
        <v>142</v>
      </c>
      <c r="W252" t="s">
        <v>220</v>
      </c>
      <c r="X252">
        <v>0</v>
      </c>
      <c r="Y252" t="s">
        <v>41</v>
      </c>
      <c r="Z252" t="s">
        <v>219</v>
      </c>
      <c r="AA252" t="s">
        <v>360</v>
      </c>
      <c r="AB252" t="s">
        <v>540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 t="s">
        <v>935</v>
      </c>
      <c r="AK252" t="s">
        <v>320</v>
      </c>
      <c r="AL252" t="s">
        <v>321</v>
      </c>
      <c r="AM252" t="str">
        <f t="shared" si="10"/>
        <v>2016-2018</v>
      </c>
      <c r="AN252">
        <f t="shared" si="11"/>
        <v>2</v>
      </c>
    </row>
    <row r="253" spans="1:40" x14ac:dyDescent="0.2">
      <c r="A253">
        <v>252</v>
      </c>
      <c r="B253" t="s">
        <v>937</v>
      </c>
      <c r="C253" t="s">
        <v>1718</v>
      </c>
      <c r="D253" t="s">
        <v>72</v>
      </c>
      <c r="E253" t="s">
        <v>98</v>
      </c>
      <c r="F253" t="s">
        <v>99</v>
      </c>
      <c r="G253">
        <v>14</v>
      </c>
      <c r="H253">
        <v>5.8727194860000003</v>
      </c>
      <c r="I253" t="s">
        <v>88</v>
      </c>
      <c r="J253">
        <v>5</v>
      </c>
      <c r="K253">
        <v>2.3281147</v>
      </c>
      <c r="L253">
        <v>2</v>
      </c>
      <c r="M253" t="s">
        <v>97</v>
      </c>
      <c r="N253">
        <v>2</v>
      </c>
      <c r="O253">
        <v>15</v>
      </c>
      <c r="P253">
        <v>35</v>
      </c>
      <c r="Q253">
        <v>122</v>
      </c>
      <c r="R253" t="s">
        <v>936</v>
      </c>
      <c r="S253" s="3" t="s">
        <v>141</v>
      </c>
      <c r="T253" s="3">
        <f t="shared" si="9"/>
        <v>1</v>
      </c>
      <c r="U253" t="s">
        <v>149</v>
      </c>
      <c r="V253" t="s">
        <v>142</v>
      </c>
      <c r="W253" t="s">
        <v>220</v>
      </c>
      <c r="X253">
        <v>0</v>
      </c>
      <c r="Y253" t="s">
        <v>41</v>
      </c>
      <c r="Z253" t="s">
        <v>219</v>
      </c>
      <c r="AA253" t="s">
        <v>360</v>
      </c>
      <c r="AB253" t="s">
        <v>540</v>
      </c>
      <c r="AC253">
        <v>1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 t="s">
        <v>938</v>
      </c>
      <c r="AK253" t="s">
        <v>202</v>
      </c>
      <c r="AL253" t="s">
        <v>203</v>
      </c>
      <c r="AM253" t="str">
        <f t="shared" si="10"/>
        <v>2018-2020</v>
      </c>
      <c r="AN253">
        <f t="shared" si="11"/>
        <v>2</v>
      </c>
    </row>
    <row r="254" spans="1:40" x14ac:dyDescent="0.2">
      <c r="A254">
        <v>253</v>
      </c>
      <c r="B254" t="s">
        <v>939</v>
      </c>
      <c r="C254" t="s">
        <v>1718</v>
      </c>
      <c r="D254" t="s">
        <v>60</v>
      </c>
      <c r="E254" t="s">
        <v>150</v>
      </c>
      <c r="F254" t="s">
        <v>151</v>
      </c>
      <c r="G254">
        <v>55</v>
      </c>
      <c r="H254">
        <v>22.541751180000009</v>
      </c>
      <c r="I254" t="s">
        <v>140</v>
      </c>
      <c r="J254">
        <v>43</v>
      </c>
      <c r="K254">
        <v>16.155734859999999</v>
      </c>
      <c r="L254">
        <v>20</v>
      </c>
      <c r="M254" t="s">
        <v>67</v>
      </c>
      <c r="N254">
        <v>32</v>
      </c>
      <c r="O254">
        <v>59</v>
      </c>
      <c r="P254">
        <v>1218</v>
      </c>
      <c r="Q254">
        <v>123</v>
      </c>
      <c r="R254" t="s">
        <v>941</v>
      </c>
      <c r="S254" s="3" t="s">
        <v>346</v>
      </c>
      <c r="T254" s="3">
        <f t="shared" si="9"/>
        <v>1</v>
      </c>
      <c r="U254" t="s">
        <v>48</v>
      </c>
      <c r="V254" t="s">
        <v>142</v>
      </c>
      <c r="W254" t="s">
        <v>220</v>
      </c>
      <c r="X254">
        <v>0</v>
      </c>
      <c r="Y254" t="s">
        <v>41</v>
      </c>
      <c r="Z254" t="s">
        <v>219</v>
      </c>
      <c r="AA254" t="s">
        <v>360</v>
      </c>
      <c r="AB254" t="s">
        <v>570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 t="s">
        <v>940</v>
      </c>
      <c r="AK254" t="s">
        <v>65</v>
      </c>
      <c r="AL254" t="s">
        <v>66</v>
      </c>
      <c r="AM254" t="str">
        <f t="shared" si="10"/>
        <v>2024-2027</v>
      </c>
      <c r="AN254">
        <f t="shared" si="11"/>
        <v>3</v>
      </c>
    </row>
    <row r="255" spans="1:40" x14ac:dyDescent="0.2">
      <c r="A255">
        <v>254</v>
      </c>
      <c r="B255" t="s">
        <v>942</v>
      </c>
      <c r="C255" t="s">
        <v>1717</v>
      </c>
      <c r="D255" t="s">
        <v>231</v>
      </c>
      <c r="E255" t="s">
        <v>98</v>
      </c>
      <c r="F255" t="s">
        <v>99</v>
      </c>
      <c r="G255">
        <v>7</v>
      </c>
      <c r="H255">
        <v>3.2154644399999999</v>
      </c>
      <c r="I255" t="s">
        <v>88</v>
      </c>
      <c r="J255">
        <v>10</v>
      </c>
      <c r="K255">
        <v>5.2027932699999999</v>
      </c>
      <c r="L255">
        <v>1</v>
      </c>
      <c r="M255" t="s">
        <v>137</v>
      </c>
      <c r="N255">
        <v>0</v>
      </c>
      <c r="O255">
        <v>14</v>
      </c>
      <c r="P255">
        <v>7</v>
      </c>
      <c r="Q255">
        <v>123</v>
      </c>
      <c r="R255" t="s">
        <v>941</v>
      </c>
      <c r="S255" s="3" t="s">
        <v>346</v>
      </c>
      <c r="T255" s="3">
        <f t="shared" si="9"/>
        <v>1</v>
      </c>
      <c r="U255" t="s">
        <v>48</v>
      </c>
      <c r="V255" t="s">
        <v>142</v>
      </c>
      <c r="W255" t="s">
        <v>220</v>
      </c>
      <c r="X255">
        <v>0</v>
      </c>
      <c r="Y255" t="s">
        <v>41</v>
      </c>
      <c r="Z255" t="s">
        <v>219</v>
      </c>
      <c r="AA255" t="s">
        <v>360</v>
      </c>
      <c r="AB255" t="s">
        <v>570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 t="s">
        <v>943</v>
      </c>
      <c r="AK255" t="s">
        <v>125</v>
      </c>
      <c r="AL255" t="s">
        <v>126</v>
      </c>
      <c r="AM255" t="str">
        <f t="shared" si="10"/>
        <v>2022-2024</v>
      </c>
      <c r="AN255">
        <f t="shared" si="11"/>
        <v>2</v>
      </c>
    </row>
    <row r="256" spans="1:40" x14ac:dyDescent="0.2">
      <c r="A256">
        <v>255</v>
      </c>
      <c r="B256" t="s">
        <v>944</v>
      </c>
      <c r="C256" t="s">
        <v>1717</v>
      </c>
      <c r="D256" t="s">
        <v>60</v>
      </c>
      <c r="E256" t="s">
        <v>68</v>
      </c>
      <c r="F256" t="s">
        <v>263</v>
      </c>
      <c r="G256">
        <v>256</v>
      </c>
      <c r="H256">
        <v>95.086912994000016</v>
      </c>
      <c r="I256" t="s">
        <v>261</v>
      </c>
      <c r="J256">
        <v>244</v>
      </c>
      <c r="K256">
        <v>172.42611653000009</v>
      </c>
      <c r="L256">
        <v>42</v>
      </c>
      <c r="M256" t="s">
        <v>49</v>
      </c>
      <c r="N256">
        <v>177</v>
      </c>
      <c r="O256">
        <v>270</v>
      </c>
      <c r="P256">
        <v>6278</v>
      </c>
      <c r="Q256">
        <v>124</v>
      </c>
      <c r="R256" t="s">
        <v>946</v>
      </c>
      <c r="S256" s="3" t="s">
        <v>90</v>
      </c>
      <c r="T256" s="3">
        <f t="shared" si="9"/>
        <v>1</v>
      </c>
      <c r="U256" t="s">
        <v>96</v>
      </c>
      <c r="V256" t="s">
        <v>142</v>
      </c>
      <c r="W256" t="s">
        <v>220</v>
      </c>
      <c r="X256">
        <v>0</v>
      </c>
      <c r="Y256" t="s">
        <v>41</v>
      </c>
      <c r="Z256" t="s">
        <v>219</v>
      </c>
      <c r="AA256" t="s">
        <v>43</v>
      </c>
      <c r="AB256" t="s">
        <v>44</v>
      </c>
      <c r="AC256">
        <v>2</v>
      </c>
      <c r="AD256">
        <v>0</v>
      </c>
      <c r="AE256">
        <v>1</v>
      </c>
      <c r="AF256">
        <v>1</v>
      </c>
      <c r="AG256">
        <v>0</v>
      </c>
      <c r="AH256">
        <v>0</v>
      </c>
      <c r="AI256">
        <v>0</v>
      </c>
      <c r="AJ256" t="s">
        <v>945</v>
      </c>
      <c r="AK256" t="s">
        <v>156</v>
      </c>
      <c r="AL256" t="s">
        <v>157</v>
      </c>
      <c r="AM256" t="str">
        <f t="shared" si="10"/>
        <v>2016-2020</v>
      </c>
      <c r="AN256">
        <f t="shared" si="11"/>
        <v>4</v>
      </c>
    </row>
    <row r="257" spans="1:40" x14ac:dyDescent="0.2">
      <c r="A257">
        <v>256</v>
      </c>
      <c r="B257" t="s">
        <v>947</v>
      </c>
      <c r="C257" t="s">
        <v>1717</v>
      </c>
      <c r="D257" t="s">
        <v>227</v>
      </c>
      <c r="E257" t="s">
        <v>227</v>
      </c>
      <c r="F257" t="s">
        <v>227</v>
      </c>
      <c r="I257" t="s">
        <v>226</v>
      </c>
      <c r="M257" t="s">
        <v>226</v>
      </c>
      <c r="Q257">
        <v>124</v>
      </c>
      <c r="R257" t="s">
        <v>946</v>
      </c>
      <c r="S257" s="3" t="s">
        <v>90</v>
      </c>
      <c r="T257" s="3">
        <f t="shared" si="9"/>
        <v>1</v>
      </c>
      <c r="U257" t="s">
        <v>96</v>
      </c>
      <c r="V257" t="s">
        <v>142</v>
      </c>
      <c r="W257" t="s">
        <v>220</v>
      </c>
      <c r="X257">
        <v>0</v>
      </c>
      <c r="Y257" t="s">
        <v>41</v>
      </c>
      <c r="Z257" t="s">
        <v>219</v>
      </c>
      <c r="AA257" t="s">
        <v>43</v>
      </c>
      <c r="AB257" t="s">
        <v>44</v>
      </c>
      <c r="AC257">
        <v>2</v>
      </c>
      <c r="AD257">
        <v>0</v>
      </c>
      <c r="AE257">
        <v>0</v>
      </c>
      <c r="AF257">
        <v>0</v>
      </c>
      <c r="AG257">
        <v>1</v>
      </c>
      <c r="AH257">
        <v>1</v>
      </c>
      <c r="AI257">
        <v>0</v>
      </c>
      <c r="AJ257" s="4" t="s">
        <v>226</v>
      </c>
      <c r="AK257" t="s">
        <v>213</v>
      </c>
      <c r="AL257" t="s">
        <v>214</v>
      </c>
      <c r="AM257" t="str">
        <f t="shared" si="10"/>
        <v>2020-2024</v>
      </c>
      <c r="AN257">
        <f t="shared" si="11"/>
        <v>4</v>
      </c>
    </row>
    <row r="258" spans="1:40" x14ac:dyDescent="0.2">
      <c r="A258">
        <v>257</v>
      </c>
      <c r="B258" t="s">
        <v>948</v>
      </c>
      <c r="C258" t="s">
        <v>1718</v>
      </c>
      <c r="D258" t="s">
        <v>186</v>
      </c>
      <c r="E258" t="s">
        <v>98</v>
      </c>
      <c r="F258" t="s">
        <v>99</v>
      </c>
      <c r="G258">
        <v>52</v>
      </c>
      <c r="H258">
        <v>16.442616220000001</v>
      </c>
      <c r="I258" t="s">
        <v>88</v>
      </c>
      <c r="J258">
        <v>42</v>
      </c>
      <c r="K258">
        <v>21.427588670000009</v>
      </c>
      <c r="L258">
        <v>15</v>
      </c>
      <c r="M258" t="s">
        <v>67</v>
      </c>
      <c r="N258">
        <v>20</v>
      </c>
      <c r="O258">
        <v>94</v>
      </c>
      <c r="P258">
        <v>996</v>
      </c>
      <c r="Q258">
        <v>124</v>
      </c>
      <c r="R258" t="s">
        <v>946</v>
      </c>
      <c r="S258" s="3" t="s">
        <v>90</v>
      </c>
      <c r="T258" s="3">
        <f t="shared" si="9"/>
        <v>1</v>
      </c>
      <c r="U258" t="s">
        <v>96</v>
      </c>
      <c r="V258" t="s">
        <v>142</v>
      </c>
      <c r="W258" t="s">
        <v>220</v>
      </c>
      <c r="X258">
        <v>0</v>
      </c>
      <c r="Y258" t="s">
        <v>41</v>
      </c>
      <c r="Z258" t="s">
        <v>219</v>
      </c>
      <c r="AA258" t="s">
        <v>43</v>
      </c>
      <c r="AB258" t="s">
        <v>44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 t="s">
        <v>949</v>
      </c>
      <c r="AK258" t="s">
        <v>65</v>
      </c>
      <c r="AL258" t="s">
        <v>66</v>
      </c>
      <c r="AM258" t="str">
        <f t="shared" si="10"/>
        <v>2024-2027</v>
      </c>
      <c r="AN258">
        <f t="shared" si="11"/>
        <v>3</v>
      </c>
    </row>
    <row r="259" spans="1:40" x14ac:dyDescent="0.2">
      <c r="A259">
        <v>258</v>
      </c>
      <c r="B259" t="s">
        <v>950</v>
      </c>
      <c r="C259" t="s">
        <v>1718</v>
      </c>
      <c r="D259" t="s">
        <v>706</v>
      </c>
      <c r="E259" t="s">
        <v>50</v>
      </c>
      <c r="F259" t="s">
        <v>715</v>
      </c>
      <c r="G259">
        <v>165</v>
      </c>
      <c r="H259">
        <v>126.06591788</v>
      </c>
      <c r="I259" t="s">
        <v>714</v>
      </c>
      <c r="J259">
        <v>117</v>
      </c>
      <c r="K259">
        <v>67.186890949999977</v>
      </c>
      <c r="L259">
        <v>34</v>
      </c>
      <c r="M259" t="s">
        <v>49</v>
      </c>
      <c r="N259">
        <v>72</v>
      </c>
      <c r="O259">
        <v>176</v>
      </c>
      <c r="P259">
        <v>4031</v>
      </c>
      <c r="Q259">
        <v>124</v>
      </c>
      <c r="R259" t="s">
        <v>946</v>
      </c>
      <c r="S259" s="3" t="s">
        <v>90</v>
      </c>
      <c r="T259" s="3">
        <f t="shared" ref="T259:T322" si="12">IF(OR(S259="Sem IGC", ISBLANK(S259)), 0, 1)</f>
        <v>1</v>
      </c>
      <c r="U259" t="s">
        <v>96</v>
      </c>
      <c r="V259" t="s">
        <v>142</v>
      </c>
      <c r="W259" t="s">
        <v>220</v>
      </c>
      <c r="X259">
        <v>0</v>
      </c>
      <c r="Y259" t="s">
        <v>41</v>
      </c>
      <c r="Z259" t="s">
        <v>219</v>
      </c>
      <c r="AA259" t="s">
        <v>43</v>
      </c>
      <c r="AB259" t="s">
        <v>44</v>
      </c>
      <c r="AC259">
        <v>2</v>
      </c>
      <c r="AD259">
        <v>1</v>
      </c>
      <c r="AE259">
        <v>1</v>
      </c>
      <c r="AF259">
        <v>0</v>
      </c>
      <c r="AG259">
        <v>0</v>
      </c>
      <c r="AH259">
        <v>0</v>
      </c>
      <c r="AI259">
        <v>0</v>
      </c>
      <c r="AJ259" t="s">
        <v>951</v>
      </c>
      <c r="AK259" t="s">
        <v>82</v>
      </c>
      <c r="AL259" t="s">
        <v>83</v>
      </c>
      <c r="AM259" t="str">
        <f t="shared" ref="AM259:AM322" si="13">LEFT(AL259,4) &amp; "-" &amp; RIGHT(AL259,4)</f>
        <v>2014-2016</v>
      </c>
      <c r="AN259">
        <f t="shared" ref="AN259:AN322" si="14">VALUE(RIGHT(AL259,4)) - VALUE(LEFT(AL259,4))</f>
        <v>2</v>
      </c>
    </row>
    <row r="260" spans="1:40" x14ac:dyDescent="0.2">
      <c r="A260">
        <v>259</v>
      </c>
      <c r="B260" t="s">
        <v>952</v>
      </c>
      <c r="C260" t="s">
        <v>1717</v>
      </c>
      <c r="D260" t="s">
        <v>114</v>
      </c>
      <c r="E260" t="s">
        <v>476</v>
      </c>
      <c r="F260" t="s">
        <v>477</v>
      </c>
      <c r="G260">
        <v>22</v>
      </c>
      <c r="H260">
        <v>9.3962644500000021</v>
      </c>
      <c r="I260" t="s">
        <v>474</v>
      </c>
      <c r="J260">
        <v>19</v>
      </c>
      <c r="K260">
        <v>9.2680219700000013</v>
      </c>
      <c r="L260">
        <v>14</v>
      </c>
      <c r="M260" t="s">
        <v>67</v>
      </c>
      <c r="N260">
        <v>18</v>
      </c>
      <c r="O260">
        <v>30</v>
      </c>
      <c r="P260">
        <v>656</v>
      </c>
      <c r="Q260">
        <v>125</v>
      </c>
      <c r="R260" t="s">
        <v>954</v>
      </c>
      <c r="S260" s="3" t="s">
        <v>90</v>
      </c>
      <c r="T260" s="3">
        <f t="shared" si="12"/>
        <v>1</v>
      </c>
      <c r="U260" t="s">
        <v>96</v>
      </c>
      <c r="V260" t="s">
        <v>142</v>
      </c>
      <c r="W260" t="s">
        <v>220</v>
      </c>
      <c r="X260">
        <v>0</v>
      </c>
      <c r="Y260" t="s">
        <v>41</v>
      </c>
      <c r="Z260" t="s">
        <v>219</v>
      </c>
      <c r="AA260" t="s">
        <v>63</v>
      </c>
      <c r="AB260" t="s">
        <v>602</v>
      </c>
      <c r="AC260">
        <v>6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 t="s">
        <v>953</v>
      </c>
      <c r="AK260" t="s">
        <v>775</v>
      </c>
      <c r="AL260" t="s">
        <v>776</v>
      </c>
      <c r="AM260" t="str">
        <f t="shared" si="13"/>
        <v>2014-2027</v>
      </c>
      <c r="AN260">
        <f t="shared" si="14"/>
        <v>13</v>
      </c>
    </row>
    <row r="261" spans="1:40" x14ac:dyDescent="0.2">
      <c r="A261">
        <v>260</v>
      </c>
      <c r="B261" t="s">
        <v>955</v>
      </c>
      <c r="C261" t="s">
        <v>1718</v>
      </c>
      <c r="D261" t="s">
        <v>231</v>
      </c>
      <c r="E261" t="s">
        <v>98</v>
      </c>
      <c r="F261" t="s">
        <v>99</v>
      </c>
      <c r="G261">
        <v>23</v>
      </c>
      <c r="H261">
        <v>9.0913605400000002</v>
      </c>
      <c r="I261" t="s">
        <v>88</v>
      </c>
      <c r="J261">
        <v>25</v>
      </c>
      <c r="K261">
        <v>13.88310179</v>
      </c>
      <c r="L261">
        <v>3</v>
      </c>
      <c r="M261" t="s">
        <v>97</v>
      </c>
      <c r="N261">
        <v>1</v>
      </c>
      <c r="O261">
        <v>42</v>
      </c>
      <c r="P261">
        <v>78</v>
      </c>
      <c r="Q261">
        <v>126</v>
      </c>
      <c r="R261" t="s">
        <v>957</v>
      </c>
      <c r="S261" s="3" t="s">
        <v>90</v>
      </c>
      <c r="T261" s="3">
        <f t="shared" si="12"/>
        <v>1</v>
      </c>
      <c r="U261" t="s">
        <v>96</v>
      </c>
      <c r="V261" t="s">
        <v>142</v>
      </c>
      <c r="W261" t="s">
        <v>148</v>
      </c>
      <c r="X261">
        <v>0</v>
      </c>
      <c r="Y261" t="s">
        <v>143</v>
      </c>
      <c r="Z261" t="s">
        <v>144</v>
      </c>
      <c r="AA261" t="s">
        <v>224</v>
      </c>
      <c r="AB261" t="s">
        <v>346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 t="s">
        <v>956</v>
      </c>
      <c r="AK261" t="s">
        <v>65</v>
      </c>
      <c r="AL261" t="s">
        <v>66</v>
      </c>
      <c r="AM261" t="str">
        <f t="shared" si="13"/>
        <v>2024-2027</v>
      </c>
      <c r="AN261">
        <f t="shared" si="14"/>
        <v>3</v>
      </c>
    </row>
    <row r="262" spans="1:40" x14ac:dyDescent="0.2">
      <c r="A262">
        <v>261</v>
      </c>
      <c r="B262" t="s">
        <v>958</v>
      </c>
      <c r="C262" t="s">
        <v>1718</v>
      </c>
      <c r="D262" t="s">
        <v>72</v>
      </c>
      <c r="E262" t="s">
        <v>150</v>
      </c>
      <c r="F262" t="s">
        <v>961</v>
      </c>
      <c r="G262">
        <v>35</v>
      </c>
      <c r="H262">
        <v>12.55381379</v>
      </c>
      <c r="I262" t="s">
        <v>960</v>
      </c>
      <c r="J262">
        <v>23</v>
      </c>
      <c r="K262">
        <v>11.69959835</v>
      </c>
      <c r="L262">
        <v>9</v>
      </c>
      <c r="M262" t="s">
        <v>119</v>
      </c>
      <c r="N262">
        <v>9</v>
      </c>
      <c r="O262">
        <v>57</v>
      </c>
      <c r="P262">
        <v>245</v>
      </c>
      <c r="Q262">
        <v>126</v>
      </c>
      <c r="R262" t="s">
        <v>957</v>
      </c>
      <c r="S262" s="3" t="s">
        <v>90</v>
      </c>
      <c r="T262" s="3">
        <f t="shared" si="12"/>
        <v>1</v>
      </c>
      <c r="U262" t="s">
        <v>96</v>
      </c>
      <c r="V262" t="s">
        <v>142</v>
      </c>
      <c r="W262" t="s">
        <v>148</v>
      </c>
      <c r="X262">
        <v>0</v>
      </c>
      <c r="Y262" t="s">
        <v>143</v>
      </c>
      <c r="Z262" t="s">
        <v>144</v>
      </c>
      <c r="AA262" t="s">
        <v>224</v>
      </c>
      <c r="AB262" t="s">
        <v>346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 t="s">
        <v>959</v>
      </c>
      <c r="AK262" t="s">
        <v>125</v>
      </c>
      <c r="AL262" t="s">
        <v>126</v>
      </c>
      <c r="AM262" t="str">
        <f t="shared" si="13"/>
        <v>2022-2024</v>
      </c>
      <c r="AN262">
        <f t="shared" si="14"/>
        <v>2</v>
      </c>
    </row>
    <row r="263" spans="1:40" x14ac:dyDescent="0.2">
      <c r="A263">
        <v>262</v>
      </c>
      <c r="B263" t="s">
        <v>962</v>
      </c>
      <c r="C263" t="s">
        <v>1718</v>
      </c>
      <c r="D263" t="s">
        <v>60</v>
      </c>
      <c r="E263" t="s">
        <v>98</v>
      </c>
      <c r="F263" t="s">
        <v>99</v>
      </c>
      <c r="G263">
        <v>162</v>
      </c>
      <c r="H263">
        <v>76.69600767</v>
      </c>
      <c r="I263" t="s">
        <v>88</v>
      </c>
      <c r="J263">
        <v>104</v>
      </c>
      <c r="K263">
        <v>54.570909919999977</v>
      </c>
      <c r="L263">
        <v>13</v>
      </c>
      <c r="M263" t="s">
        <v>67</v>
      </c>
      <c r="N263">
        <v>15</v>
      </c>
      <c r="O263">
        <v>243</v>
      </c>
      <c r="P263">
        <v>934</v>
      </c>
      <c r="Q263">
        <v>126</v>
      </c>
      <c r="R263" t="s">
        <v>957</v>
      </c>
      <c r="S263" s="3" t="s">
        <v>90</v>
      </c>
      <c r="T263" s="3">
        <f t="shared" si="12"/>
        <v>1</v>
      </c>
      <c r="U263" t="s">
        <v>96</v>
      </c>
      <c r="V263" t="s">
        <v>142</v>
      </c>
      <c r="W263" t="s">
        <v>148</v>
      </c>
      <c r="X263">
        <v>0</v>
      </c>
      <c r="Y263" t="s">
        <v>143</v>
      </c>
      <c r="Z263" t="s">
        <v>144</v>
      </c>
      <c r="AA263" t="s">
        <v>224</v>
      </c>
      <c r="AB263" t="s">
        <v>346</v>
      </c>
      <c r="AC263">
        <v>2</v>
      </c>
      <c r="AD263">
        <v>1</v>
      </c>
      <c r="AE263">
        <v>1</v>
      </c>
      <c r="AF263">
        <v>0</v>
      </c>
      <c r="AG263">
        <v>0</v>
      </c>
      <c r="AH263">
        <v>0</v>
      </c>
      <c r="AI263">
        <v>0</v>
      </c>
      <c r="AJ263" t="s">
        <v>963</v>
      </c>
      <c r="AK263" t="s">
        <v>74</v>
      </c>
      <c r="AL263" t="s">
        <v>75</v>
      </c>
      <c r="AM263" t="str">
        <f t="shared" si="13"/>
        <v>2014-2018</v>
      </c>
      <c r="AN263">
        <f t="shared" si="14"/>
        <v>4</v>
      </c>
    </row>
    <row r="264" spans="1:40" x14ac:dyDescent="0.2">
      <c r="A264">
        <v>263</v>
      </c>
      <c r="B264" t="s">
        <v>964</v>
      </c>
      <c r="C264" t="s">
        <v>1717</v>
      </c>
      <c r="D264" t="s">
        <v>79</v>
      </c>
      <c r="E264" t="s">
        <v>68</v>
      </c>
      <c r="F264" t="s">
        <v>111</v>
      </c>
      <c r="G264">
        <v>177</v>
      </c>
      <c r="H264">
        <v>114.0923413999999</v>
      </c>
      <c r="I264" t="s">
        <v>108</v>
      </c>
      <c r="J264">
        <v>133</v>
      </c>
      <c r="K264">
        <v>56.657129404999992</v>
      </c>
      <c r="L264">
        <v>29</v>
      </c>
      <c r="M264" t="s">
        <v>49</v>
      </c>
      <c r="N264">
        <v>61</v>
      </c>
      <c r="O264">
        <v>254</v>
      </c>
      <c r="P264">
        <v>2604</v>
      </c>
      <c r="Q264">
        <v>126</v>
      </c>
      <c r="R264" t="s">
        <v>957</v>
      </c>
      <c r="S264" s="3" t="s">
        <v>90</v>
      </c>
      <c r="T264" s="3">
        <f t="shared" si="12"/>
        <v>1</v>
      </c>
      <c r="U264" t="s">
        <v>96</v>
      </c>
      <c r="V264" t="s">
        <v>142</v>
      </c>
      <c r="W264" t="s">
        <v>148</v>
      </c>
      <c r="X264">
        <v>0</v>
      </c>
      <c r="Y264" t="s">
        <v>143</v>
      </c>
      <c r="Z264" t="s">
        <v>144</v>
      </c>
      <c r="AA264" t="s">
        <v>224</v>
      </c>
      <c r="AB264" t="s">
        <v>346</v>
      </c>
      <c r="AC264">
        <v>2</v>
      </c>
      <c r="AD264">
        <v>0</v>
      </c>
      <c r="AE264">
        <v>0</v>
      </c>
      <c r="AF264">
        <v>1</v>
      </c>
      <c r="AG264">
        <v>1</v>
      </c>
      <c r="AH264">
        <v>0</v>
      </c>
      <c r="AI264">
        <v>0</v>
      </c>
      <c r="AJ264" t="s">
        <v>965</v>
      </c>
      <c r="AK264" t="s">
        <v>193</v>
      </c>
      <c r="AL264" t="s">
        <v>194</v>
      </c>
      <c r="AM264" t="str">
        <f t="shared" si="13"/>
        <v>2018-2021</v>
      </c>
      <c r="AN264">
        <f t="shared" si="14"/>
        <v>3</v>
      </c>
    </row>
    <row r="265" spans="1:40" x14ac:dyDescent="0.2">
      <c r="A265">
        <v>264</v>
      </c>
      <c r="B265" t="s">
        <v>966</v>
      </c>
      <c r="C265" t="s">
        <v>1717</v>
      </c>
      <c r="D265" t="s">
        <v>60</v>
      </c>
      <c r="E265" t="s">
        <v>150</v>
      </c>
      <c r="F265" t="s">
        <v>151</v>
      </c>
      <c r="G265">
        <v>59</v>
      </c>
      <c r="H265">
        <v>45.619866039999998</v>
      </c>
      <c r="I265" t="s">
        <v>140</v>
      </c>
      <c r="J265">
        <v>51</v>
      </c>
      <c r="K265">
        <v>29.598298710000002</v>
      </c>
      <c r="L265">
        <v>19</v>
      </c>
      <c r="M265" t="s">
        <v>67</v>
      </c>
      <c r="N265">
        <v>27</v>
      </c>
      <c r="O265">
        <v>60</v>
      </c>
      <c r="P265">
        <v>968</v>
      </c>
      <c r="Q265">
        <v>127</v>
      </c>
      <c r="R265" t="s">
        <v>968</v>
      </c>
      <c r="S265" s="3">
        <v>3</v>
      </c>
      <c r="T265" s="3">
        <f t="shared" si="12"/>
        <v>1</v>
      </c>
      <c r="U265" t="s">
        <v>149</v>
      </c>
      <c r="V265" t="s">
        <v>142</v>
      </c>
      <c r="W265" t="s">
        <v>195</v>
      </c>
      <c r="X265">
        <v>0</v>
      </c>
      <c r="Y265" t="s">
        <v>143</v>
      </c>
      <c r="Z265" t="s">
        <v>190</v>
      </c>
      <c r="AA265" t="s">
        <v>43</v>
      </c>
      <c r="AB265" t="s">
        <v>44</v>
      </c>
      <c r="AC265">
        <v>3</v>
      </c>
      <c r="AD265">
        <v>1</v>
      </c>
      <c r="AE265">
        <v>1</v>
      </c>
      <c r="AF265">
        <v>1</v>
      </c>
      <c r="AG265">
        <v>0</v>
      </c>
      <c r="AH265">
        <v>0</v>
      </c>
      <c r="AI265">
        <v>0</v>
      </c>
      <c r="AJ265" t="s">
        <v>967</v>
      </c>
      <c r="AK265" t="s">
        <v>109</v>
      </c>
      <c r="AL265" t="s">
        <v>110</v>
      </c>
      <c r="AM265" t="str">
        <f t="shared" si="13"/>
        <v>2014-2020</v>
      </c>
      <c r="AN265">
        <f t="shared" si="14"/>
        <v>6</v>
      </c>
    </row>
    <row r="266" spans="1:40" x14ac:dyDescent="0.2">
      <c r="A266">
        <v>265</v>
      </c>
      <c r="B266" t="s">
        <v>969</v>
      </c>
      <c r="C266" t="s">
        <v>1718</v>
      </c>
      <c r="D266" t="s">
        <v>231</v>
      </c>
      <c r="E266" t="s">
        <v>98</v>
      </c>
      <c r="F266" t="s">
        <v>99</v>
      </c>
      <c r="G266">
        <v>6</v>
      </c>
      <c r="H266">
        <v>2.2717906499999998</v>
      </c>
      <c r="I266" t="s">
        <v>88</v>
      </c>
      <c r="J266">
        <v>1</v>
      </c>
      <c r="K266">
        <v>0.77741130000000003</v>
      </c>
      <c r="L266">
        <v>1</v>
      </c>
      <c r="M266" t="s">
        <v>137</v>
      </c>
      <c r="N266">
        <v>0</v>
      </c>
      <c r="O266">
        <v>7</v>
      </c>
      <c r="P266">
        <v>7</v>
      </c>
      <c r="Q266">
        <v>127</v>
      </c>
      <c r="R266" t="s">
        <v>968</v>
      </c>
      <c r="S266" s="3">
        <v>3</v>
      </c>
      <c r="T266" s="3">
        <f t="shared" si="12"/>
        <v>1</v>
      </c>
      <c r="U266" t="s">
        <v>149</v>
      </c>
      <c r="V266" t="s">
        <v>142</v>
      </c>
      <c r="W266" t="s">
        <v>195</v>
      </c>
      <c r="X266">
        <v>0</v>
      </c>
      <c r="Y266" t="s">
        <v>143</v>
      </c>
      <c r="Z266" t="s">
        <v>190</v>
      </c>
      <c r="AA266" t="s">
        <v>43</v>
      </c>
      <c r="AB266" t="s">
        <v>44</v>
      </c>
      <c r="AC266">
        <v>1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 t="s">
        <v>970</v>
      </c>
      <c r="AK266" t="s">
        <v>93</v>
      </c>
      <c r="AL266" t="s">
        <v>94</v>
      </c>
      <c r="AM266" t="str">
        <f t="shared" si="13"/>
        <v>2020-2021</v>
      </c>
      <c r="AN266">
        <f t="shared" si="14"/>
        <v>1</v>
      </c>
    </row>
    <row r="267" spans="1:40" x14ac:dyDescent="0.2">
      <c r="A267">
        <v>266</v>
      </c>
      <c r="B267" t="s">
        <v>971</v>
      </c>
      <c r="C267" t="s">
        <v>1717</v>
      </c>
      <c r="D267" t="s">
        <v>60</v>
      </c>
      <c r="E267" t="s">
        <v>98</v>
      </c>
      <c r="F267" t="s">
        <v>99</v>
      </c>
      <c r="G267">
        <v>31</v>
      </c>
      <c r="H267">
        <v>12.828852189999999</v>
      </c>
      <c r="I267" t="s">
        <v>88</v>
      </c>
      <c r="J267">
        <v>27</v>
      </c>
      <c r="K267">
        <v>15.067667849999999</v>
      </c>
      <c r="L267">
        <v>7</v>
      </c>
      <c r="M267" t="s">
        <v>119</v>
      </c>
      <c r="N267">
        <v>4</v>
      </c>
      <c r="O267">
        <v>62</v>
      </c>
      <c r="P267">
        <v>115</v>
      </c>
      <c r="Q267">
        <v>128</v>
      </c>
      <c r="R267" t="s">
        <v>973</v>
      </c>
      <c r="S267" s="3" t="s">
        <v>117</v>
      </c>
      <c r="T267" s="3">
        <f t="shared" si="12"/>
        <v>1</v>
      </c>
      <c r="U267" t="s">
        <v>96</v>
      </c>
      <c r="V267" t="s">
        <v>142</v>
      </c>
      <c r="W267" t="s">
        <v>148</v>
      </c>
      <c r="X267">
        <v>0</v>
      </c>
      <c r="Y267" t="s">
        <v>143</v>
      </c>
      <c r="Z267" t="s">
        <v>144</v>
      </c>
      <c r="AA267" t="s">
        <v>43</v>
      </c>
      <c r="AB267" t="s">
        <v>81</v>
      </c>
      <c r="AC267">
        <v>4</v>
      </c>
      <c r="AD267">
        <v>0</v>
      </c>
      <c r="AE267">
        <v>0</v>
      </c>
      <c r="AF267">
        <v>1</v>
      </c>
      <c r="AG267">
        <v>1</v>
      </c>
      <c r="AH267">
        <v>1</v>
      </c>
      <c r="AI267">
        <v>1</v>
      </c>
      <c r="AJ267" t="s">
        <v>972</v>
      </c>
      <c r="AK267" t="s">
        <v>146</v>
      </c>
      <c r="AL267" t="s">
        <v>147</v>
      </c>
      <c r="AM267" t="str">
        <f t="shared" si="13"/>
        <v>2018-2027</v>
      </c>
      <c r="AN267">
        <f t="shared" si="14"/>
        <v>9</v>
      </c>
    </row>
    <row r="268" spans="1:40" x14ac:dyDescent="0.2">
      <c r="A268">
        <v>267</v>
      </c>
      <c r="B268" t="s">
        <v>974</v>
      </c>
      <c r="C268" t="s">
        <v>1718</v>
      </c>
      <c r="D268" t="s">
        <v>186</v>
      </c>
      <c r="E268" t="s">
        <v>98</v>
      </c>
      <c r="F268" t="s">
        <v>99</v>
      </c>
      <c r="G268">
        <v>42</v>
      </c>
      <c r="H268">
        <v>11.682931075000001</v>
      </c>
      <c r="I268" t="s">
        <v>88</v>
      </c>
      <c r="J268">
        <v>45</v>
      </c>
      <c r="K268">
        <v>23.430768059999998</v>
      </c>
      <c r="L268">
        <v>7</v>
      </c>
      <c r="M268" t="s">
        <v>119</v>
      </c>
      <c r="N268">
        <v>5</v>
      </c>
      <c r="O268">
        <v>81</v>
      </c>
      <c r="P268">
        <v>197</v>
      </c>
      <c r="Q268">
        <v>129</v>
      </c>
      <c r="R268" t="s">
        <v>976</v>
      </c>
      <c r="S268" s="3" t="s">
        <v>141</v>
      </c>
      <c r="T268" s="3">
        <f t="shared" si="12"/>
        <v>1</v>
      </c>
      <c r="U268" t="s">
        <v>149</v>
      </c>
      <c r="V268" t="s">
        <v>142</v>
      </c>
      <c r="W268" t="s">
        <v>148</v>
      </c>
      <c r="X268">
        <v>0</v>
      </c>
      <c r="Y268" t="s">
        <v>143</v>
      </c>
      <c r="Z268" t="s">
        <v>144</v>
      </c>
      <c r="AA268" t="s">
        <v>224</v>
      </c>
      <c r="AB268" t="s">
        <v>346</v>
      </c>
      <c r="AC268">
        <v>1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 t="s">
        <v>975</v>
      </c>
      <c r="AK268" t="s">
        <v>320</v>
      </c>
      <c r="AL268" t="s">
        <v>321</v>
      </c>
      <c r="AM268" t="str">
        <f t="shared" si="13"/>
        <v>2016-2018</v>
      </c>
      <c r="AN268">
        <f t="shared" si="14"/>
        <v>2</v>
      </c>
    </row>
    <row r="269" spans="1:40" x14ac:dyDescent="0.2">
      <c r="A269">
        <v>268</v>
      </c>
      <c r="B269" t="s">
        <v>977</v>
      </c>
      <c r="C269" t="s">
        <v>1718</v>
      </c>
      <c r="D269" t="s">
        <v>231</v>
      </c>
      <c r="E269" t="s">
        <v>98</v>
      </c>
      <c r="F269" t="s">
        <v>99</v>
      </c>
      <c r="G269">
        <v>78</v>
      </c>
      <c r="H269">
        <v>31.19983543</v>
      </c>
      <c r="I269" t="s">
        <v>88</v>
      </c>
      <c r="J269">
        <v>82</v>
      </c>
      <c r="K269">
        <v>47.303737020000007</v>
      </c>
      <c r="L269">
        <v>6</v>
      </c>
      <c r="M269" t="s">
        <v>119</v>
      </c>
      <c r="N269">
        <v>5</v>
      </c>
      <c r="O269">
        <v>169</v>
      </c>
      <c r="P269">
        <v>182</v>
      </c>
      <c r="Q269">
        <v>129</v>
      </c>
      <c r="R269" t="s">
        <v>976</v>
      </c>
      <c r="S269" s="3" t="s">
        <v>141</v>
      </c>
      <c r="T269" s="3">
        <f t="shared" si="12"/>
        <v>1</v>
      </c>
      <c r="U269" t="s">
        <v>149</v>
      </c>
      <c r="V269" t="s">
        <v>142</v>
      </c>
      <c r="W269" t="s">
        <v>148</v>
      </c>
      <c r="X269">
        <v>0</v>
      </c>
      <c r="Y269" t="s">
        <v>143</v>
      </c>
      <c r="Z269" t="s">
        <v>144</v>
      </c>
      <c r="AA269" t="s">
        <v>224</v>
      </c>
      <c r="AB269" t="s">
        <v>346</v>
      </c>
      <c r="AC269">
        <v>1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 t="s">
        <v>978</v>
      </c>
      <c r="AK269" t="s">
        <v>202</v>
      </c>
      <c r="AL269" t="s">
        <v>203</v>
      </c>
      <c r="AM269" t="str">
        <f t="shared" si="13"/>
        <v>2018-2020</v>
      </c>
      <c r="AN269">
        <f t="shared" si="14"/>
        <v>2</v>
      </c>
    </row>
    <row r="270" spans="1:40" x14ac:dyDescent="0.2">
      <c r="A270">
        <v>269</v>
      </c>
      <c r="B270" t="s">
        <v>979</v>
      </c>
      <c r="C270" t="s">
        <v>1718</v>
      </c>
      <c r="D270" t="s">
        <v>60</v>
      </c>
      <c r="E270" t="s">
        <v>98</v>
      </c>
      <c r="F270" t="s">
        <v>99</v>
      </c>
      <c r="G270">
        <v>31</v>
      </c>
      <c r="H270">
        <v>13.26648898</v>
      </c>
      <c r="I270" t="s">
        <v>88</v>
      </c>
      <c r="J270">
        <v>23</v>
      </c>
      <c r="K270">
        <v>12.839471290000001</v>
      </c>
      <c r="L270">
        <v>7</v>
      </c>
      <c r="M270" t="s">
        <v>119</v>
      </c>
      <c r="N270">
        <v>6</v>
      </c>
      <c r="O270">
        <v>47</v>
      </c>
      <c r="P270">
        <v>189</v>
      </c>
      <c r="Q270">
        <v>129</v>
      </c>
      <c r="R270" t="s">
        <v>976</v>
      </c>
      <c r="S270" s="3" t="s">
        <v>141</v>
      </c>
      <c r="T270" s="3">
        <f t="shared" si="12"/>
        <v>1</v>
      </c>
      <c r="U270" t="s">
        <v>149</v>
      </c>
      <c r="V270" t="s">
        <v>142</v>
      </c>
      <c r="W270" t="s">
        <v>148</v>
      </c>
      <c r="X270">
        <v>0</v>
      </c>
      <c r="Y270" t="s">
        <v>143</v>
      </c>
      <c r="Z270" t="s">
        <v>144</v>
      </c>
      <c r="AA270" t="s">
        <v>224</v>
      </c>
      <c r="AB270" t="s">
        <v>346</v>
      </c>
      <c r="AC270">
        <v>2</v>
      </c>
      <c r="AD270">
        <v>1</v>
      </c>
      <c r="AE270">
        <v>1</v>
      </c>
      <c r="AF270">
        <v>0</v>
      </c>
      <c r="AG270">
        <v>0</v>
      </c>
      <c r="AH270">
        <v>0</v>
      </c>
      <c r="AI270">
        <v>0</v>
      </c>
      <c r="AJ270" t="s">
        <v>980</v>
      </c>
      <c r="AK270" t="s">
        <v>82</v>
      </c>
      <c r="AL270" t="s">
        <v>83</v>
      </c>
      <c r="AM270" t="str">
        <f t="shared" si="13"/>
        <v>2014-2016</v>
      </c>
      <c r="AN270">
        <f t="shared" si="14"/>
        <v>2</v>
      </c>
    </row>
    <row r="271" spans="1:40" x14ac:dyDescent="0.2">
      <c r="A271">
        <v>270</v>
      </c>
      <c r="B271" t="s">
        <v>981</v>
      </c>
      <c r="C271" t="s">
        <v>1717</v>
      </c>
      <c r="D271" t="s">
        <v>114</v>
      </c>
      <c r="E271" t="s">
        <v>50</v>
      </c>
      <c r="F271" t="s">
        <v>76</v>
      </c>
      <c r="G271">
        <v>362</v>
      </c>
      <c r="H271">
        <v>205.7668057599999</v>
      </c>
      <c r="I271" t="s">
        <v>73</v>
      </c>
      <c r="J271">
        <v>270</v>
      </c>
      <c r="K271">
        <v>49.821847327000022</v>
      </c>
      <c r="L271">
        <v>60</v>
      </c>
      <c r="M271" t="s">
        <v>49</v>
      </c>
      <c r="N271">
        <v>274</v>
      </c>
      <c r="O271">
        <v>457</v>
      </c>
      <c r="P271">
        <v>12345</v>
      </c>
      <c r="Q271">
        <v>130</v>
      </c>
      <c r="R271" t="s">
        <v>983</v>
      </c>
      <c r="S271" s="3" t="s">
        <v>90</v>
      </c>
      <c r="T271" s="3">
        <f t="shared" si="12"/>
        <v>1</v>
      </c>
      <c r="U271" t="s">
        <v>96</v>
      </c>
      <c r="V271" t="s">
        <v>142</v>
      </c>
      <c r="W271" t="s">
        <v>148</v>
      </c>
      <c r="X271">
        <v>0</v>
      </c>
      <c r="Y271" t="s">
        <v>143</v>
      </c>
      <c r="Z271" t="s">
        <v>144</v>
      </c>
      <c r="AA271" t="s">
        <v>224</v>
      </c>
      <c r="AB271" t="s">
        <v>234</v>
      </c>
      <c r="AC271">
        <v>6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 t="s">
        <v>982</v>
      </c>
      <c r="AK271" t="s">
        <v>775</v>
      </c>
      <c r="AL271" t="s">
        <v>776</v>
      </c>
      <c r="AM271" t="str">
        <f t="shared" si="13"/>
        <v>2014-2027</v>
      </c>
      <c r="AN271">
        <f t="shared" si="14"/>
        <v>13</v>
      </c>
    </row>
    <row r="272" spans="1:40" x14ac:dyDescent="0.2">
      <c r="A272">
        <v>271</v>
      </c>
      <c r="B272" t="s">
        <v>984</v>
      </c>
      <c r="C272" t="s">
        <v>1718</v>
      </c>
      <c r="D272" t="s">
        <v>186</v>
      </c>
      <c r="E272" t="s">
        <v>98</v>
      </c>
      <c r="F272" t="s">
        <v>99</v>
      </c>
      <c r="G272">
        <v>42</v>
      </c>
      <c r="H272">
        <v>14.402202689999999</v>
      </c>
      <c r="I272" t="s">
        <v>88</v>
      </c>
      <c r="J272">
        <v>44</v>
      </c>
      <c r="K272">
        <v>24.996030529999999</v>
      </c>
      <c r="L272">
        <v>4</v>
      </c>
      <c r="M272" t="s">
        <v>97</v>
      </c>
      <c r="N272">
        <v>1</v>
      </c>
      <c r="O272">
        <v>72</v>
      </c>
      <c r="P272">
        <v>65</v>
      </c>
      <c r="Q272">
        <v>131</v>
      </c>
      <c r="R272" t="s">
        <v>986</v>
      </c>
      <c r="S272" s="3" t="s">
        <v>90</v>
      </c>
      <c r="T272" s="3">
        <f t="shared" si="12"/>
        <v>1</v>
      </c>
      <c r="U272" t="s">
        <v>96</v>
      </c>
      <c r="V272" t="s">
        <v>142</v>
      </c>
      <c r="W272" t="s">
        <v>148</v>
      </c>
      <c r="X272">
        <v>0</v>
      </c>
      <c r="Y272" t="s">
        <v>143</v>
      </c>
      <c r="Z272" t="s">
        <v>144</v>
      </c>
      <c r="AA272" t="s">
        <v>224</v>
      </c>
      <c r="AB272" t="s">
        <v>234</v>
      </c>
      <c r="AC272">
        <v>3</v>
      </c>
      <c r="AD272">
        <v>0</v>
      </c>
      <c r="AE272">
        <v>1</v>
      </c>
      <c r="AF272">
        <v>1</v>
      </c>
      <c r="AG272">
        <v>1</v>
      </c>
      <c r="AH272">
        <v>0</v>
      </c>
      <c r="AI272">
        <v>0</v>
      </c>
      <c r="AJ272" t="s">
        <v>985</v>
      </c>
      <c r="AK272" t="s">
        <v>131</v>
      </c>
      <c r="AL272" t="s">
        <v>132</v>
      </c>
      <c r="AM272" t="str">
        <f t="shared" si="13"/>
        <v>2016-2021</v>
      </c>
      <c r="AN272">
        <f t="shared" si="14"/>
        <v>5</v>
      </c>
    </row>
    <row r="273" spans="1:40" x14ac:dyDescent="0.2">
      <c r="A273">
        <v>272</v>
      </c>
      <c r="B273" t="s">
        <v>987</v>
      </c>
      <c r="C273" t="s">
        <v>1718</v>
      </c>
      <c r="D273" t="s">
        <v>186</v>
      </c>
      <c r="E273" t="s">
        <v>98</v>
      </c>
      <c r="F273" t="s">
        <v>99</v>
      </c>
      <c r="G273">
        <v>39</v>
      </c>
      <c r="H273">
        <v>12.811121655999999</v>
      </c>
      <c r="I273" t="s">
        <v>88</v>
      </c>
      <c r="J273">
        <v>42</v>
      </c>
      <c r="K273">
        <v>22.27827581999999</v>
      </c>
      <c r="L273">
        <v>8</v>
      </c>
      <c r="M273" t="s">
        <v>119</v>
      </c>
      <c r="N273">
        <v>4</v>
      </c>
      <c r="O273">
        <v>71</v>
      </c>
      <c r="P273">
        <v>282</v>
      </c>
      <c r="Q273">
        <v>131</v>
      </c>
      <c r="R273" t="s">
        <v>986</v>
      </c>
      <c r="S273" s="3" t="s">
        <v>90</v>
      </c>
      <c r="T273" s="3">
        <f t="shared" si="12"/>
        <v>1</v>
      </c>
      <c r="U273" t="s">
        <v>96</v>
      </c>
      <c r="V273" t="s">
        <v>142</v>
      </c>
      <c r="W273" t="s">
        <v>148</v>
      </c>
      <c r="X273">
        <v>0</v>
      </c>
      <c r="Y273" t="s">
        <v>143</v>
      </c>
      <c r="Z273" t="s">
        <v>144</v>
      </c>
      <c r="AA273" t="s">
        <v>224</v>
      </c>
      <c r="AB273" t="s">
        <v>234</v>
      </c>
      <c r="AC273">
        <v>2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1</v>
      </c>
      <c r="AJ273" t="s">
        <v>988</v>
      </c>
      <c r="AK273" t="s">
        <v>55</v>
      </c>
      <c r="AL273" t="s">
        <v>56</v>
      </c>
      <c r="AM273" t="str">
        <f t="shared" si="13"/>
        <v>2022-2027</v>
      </c>
      <c r="AN273">
        <f t="shared" si="14"/>
        <v>5</v>
      </c>
    </row>
    <row r="274" spans="1:40" x14ac:dyDescent="0.2">
      <c r="A274">
        <v>273</v>
      </c>
      <c r="B274" t="s">
        <v>989</v>
      </c>
      <c r="C274" t="s">
        <v>1717</v>
      </c>
      <c r="D274" t="s">
        <v>217</v>
      </c>
      <c r="E274" t="s">
        <v>104</v>
      </c>
      <c r="F274" t="s">
        <v>992</v>
      </c>
      <c r="G274">
        <v>50</v>
      </c>
      <c r="H274">
        <v>23.968151580000001</v>
      </c>
      <c r="I274" t="s">
        <v>991</v>
      </c>
      <c r="J274">
        <v>29</v>
      </c>
      <c r="K274">
        <v>14.34158006</v>
      </c>
      <c r="L274">
        <v>15</v>
      </c>
      <c r="M274" t="s">
        <v>67</v>
      </c>
      <c r="N274">
        <v>25</v>
      </c>
      <c r="O274">
        <v>88</v>
      </c>
      <c r="P274">
        <v>992</v>
      </c>
      <c r="Q274">
        <v>131</v>
      </c>
      <c r="R274" t="s">
        <v>986</v>
      </c>
      <c r="S274" s="3" t="s">
        <v>90</v>
      </c>
      <c r="T274" s="3">
        <f t="shared" si="12"/>
        <v>1</v>
      </c>
      <c r="U274" t="s">
        <v>96</v>
      </c>
      <c r="V274" t="s">
        <v>142</v>
      </c>
      <c r="W274" t="s">
        <v>148</v>
      </c>
      <c r="X274">
        <v>0</v>
      </c>
      <c r="Y274" t="s">
        <v>143</v>
      </c>
      <c r="Z274" t="s">
        <v>144</v>
      </c>
      <c r="AA274" t="s">
        <v>224</v>
      </c>
      <c r="AB274" t="s">
        <v>234</v>
      </c>
      <c r="AC274">
        <v>2</v>
      </c>
      <c r="AD274">
        <v>1</v>
      </c>
      <c r="AE274">
        <v>1</v>
      </c>
      <c r="AF274">
        <v>0</v>
      </c>
      <c r="AG274">
        <v>0</v>
      </c>
      <c r="AH274">
        <v>0</v>
      </c>
      <c r="AI274">
        <v>0</v>
      </c>
      <c r="AJ274" t="s">
        <v>990</v>
      </c>
      <c r="AK274" t="s">
        <v>82</v>
      </c>
      <c r="AL274" t="s">
        <v>83</v>
      </c>
      <c r="AM274" t="str">
        <f t="shared" si="13"/>
        <v>2014-2016</v>
      </c>
      <c r="AN274">
        <f t="shared" si="14"/>
        <v>2</v>
      </c>
    </row>
    <row r="275" spans="1:40" x14ac:dyDescent="0.2">
      <c r="A275">
        <v>274</v>
      </c>
      <c r="B275" t="s">
        <v>993</v>
      </c>
      <c r="C275" t="s">
        <v>1717</v>
      </c>
      <c r="D275" t="s">
        <v>186</v>
      </c>
      <c r="E275" t="s">
        <v>98</v>
      </c>
      <c r="F275" t="s">
        <v>99</v>
      </c>
      <c r="G275">
        <v>26</v>
      </c>
      <c r="H275">
        <v>6.207041492000001</v>
      </c>
      <c r="I275" t="s">
        <v>88</v>
      </c>
      <c r="J275">
        <v>31</v>
      </c>
      <c r="K275">
        <v>15.85267872</v>
      </c>
      <c r="L275">
        <v>4</v>
      </c>
      <c r="M275" t="s">
        <v>97</v>
      </c>
      <c r="N275">
        <v>2</v>
      </c>
      <c r="O275">
        <v>56</v>
      </c>
      <c r="P275">
        <v>219</v>
      </c>
      <c r="Q275">
        <v>132</v>
      </c>
      <c r="R275" t="s">
        <v>995</v>
      </c>
      <c r="S275" s="3" t="s">
        <v>90</v>
      </c>
      <c r="T275" s="3">
        <f t="shared" si="12"/>
        <v>1</v>
      </c>
      <c r="U275" t="s">
        <v>96</v>
      </c>
      <c r="V275" t="s">
        <v>142</v>
      </c>
      <c r="W275" t="s">
        <v>148</v>
      </c>
      <c r="X275">
        <v>0</v>
      </c>
      <c r="Y275" t="s">
        <v>143</v>
      </c>
      <c r="Z275" t="s">
        <v>144</v>
      </c>
      <c r="AA275" t="s">
        <v>224</v>
      </c>
      <c r="AB275" t="s">
        <v>346</v>
      </c>
      <c r="AC275">
        <v>4</v>
      </c>
      <c r="AD275">
        <v>1</v>
      </c>
      <c r="AE275">
        <v>1</v>
      </c>
      <c r="AF275">
        <v>1</v>
      </c>
      <c r="AG275">
        <v>1</v>
      </c>
      <c r="AH275">
        <v>0</v>
      </c>
      <c r="AI275">
        <v>0</v>
      </c>
      <c r="AJ275" t="s">
        <v>994</v>
      </c>
      <c r="AK275" t="s">
        <v>45</v>
      </c>
      <c r="AL275" t="s">
        <v>46</v>
      </c>
      <c r="AM275" t="str">
        <f t="shared" si="13"/>
        <v>2014-2021</v>
      </c>
      <c r="AN275">
        <f t="shared" si="14"/>
        <v>7</v>
      </c>
    </row>
    <row r="276" spans="1:40" x14ac:dyDescent="0.2">
      <c r="A276">
        <v>275</v>
      </c>
      <c r="B276" t="s">
        <v>996</v>
      </c>
      <c r="C276" t="s">
        <v>1718</v>
      </c>
      <c r="D276" t="s">
        <v>186</v>
      </c>
      <c r="E276" t="s">
        <v>98</v>
      </c>
      <c r="F276" t="s">
        <v>99</v>
      </c>
      <c r="G276">
        <v>130</v>
      </c>
      <c r="H276">
        <v>51.955396109999988</v>
      </c>
      <c r="I276" t="s">
        <v>88</v>
      </c>
      <c r="J276">
        <v>138</v>
      </c>
      <c r="K276">
        <v>85.974081779999977</v>
      </c>
      <c r="L276">
        <v>4</v>
      </c>
      <c r="M276" t="s">
        <v>97</v>
      </c>
      <c r="N276">
        <v>1</v>
      </c>
      <c r="O276">
        <v>154</v>
      </c>
      <c r="P276">
        <v>98</v>
      </c>
      <c r="Q276">
        <v>132</v>
      </c>
      <c r="R276" t="s">
        <v>995</v>
      </c>
      <c r="S276" s="3" t="s">
        <v>90</v>
      </c>
      <c r="T276" s="3">
        <f t="shared" si="12"/>
        <v>1</v>
      </c>
      <c r="U276" t="s">
        <v>96</v>
      </c>
      <c r="V276" t="s">
        <v>142</v>
      </c>
      <c r="W276" t="s">
        <v>148</v>
      </c>
      <c r="X276">
        <v>0</v>
      </c>
      <c r="Y276" t="s">
        <v>143</v>
      </c>
      <c r="Z276" t="s">
        <v>144</v>
      </c>
      <c r="AA276" t="s">
        <v>224</v>
      </c>
      <c r="AB276" t="s">
        <v>234</v>
      </c>
      <c r="AC276">
        <v>2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1</v>
      </c>
      <c r="AJ276" t="s">
        <v>997</v>
      </c>
      <c r="AK276" t="s">
        <v>55</v>
      </c>
      <c r="AL276" t="s">
        <v>56</v>
      </c>
      <c r="AM276" t="str">
        <f t="shared" si="13"/>
        <v>2022-2027</v>
      </c>
      <c r="AN276">
        <f t="shared" si="14"/>
        <v>5</v>
      </c>
    </row>
    <row r="277" spans="1:40" x14ac:dyDescent="0.2">
      <c r="A277">
        <v>276</v>
      </c>
      <c r="B277" t="s">
        <v>998</v>
      </c>
      <c r="C277" t="s">
        <v>1717</v>
      </c>
      <c r="D277" t="s">
        <v>72</v>
      </c>
      <c r="E277" t="s">
        <v>68</v>
      </c>
      <c r="F277" t="s">
        <v>386</v>
      </c>
      <c r="G277">
        <v>66</v>
      </c>
      <c r="H277">
        <v>32.618126815999993</v>
      </c>
      <c r="I277" t="s">
        <v>385</v>
      </c>
      <c r="J277">
        <v>30</v>
      </c>
      <c r="K277">
        <v>12.442696249999999</v>
      </c>
      <c r="L277">
        <v>16</v>
      </c>
      <c r="M277" t="s">
        <v>67</v>
      </c>
      <c r="N277">
        <v>17</v>
      </c>
      <c r="O277">
        <v>113</v>
      </c>
      <c r="P277">
        <v>1233</v>
      </c>
      <c r="Q277">
        <v>133</v>
      </c>
      <c r="R277" t="s">
        <v>1000</v>
      </c>
      <c r="S277" s="3" t="s">
        <v>141</v>
      </c>
      <c r="T277" s="3">
        <f t="shared" si="12"/>
        <v>1</v>
      </c>
      <c r="U277" t="s">
        <v>149</v>
      </c>
      <c r="V277" t="s">
        <v>142</v>
      </c>
      <c r="W277" t="s">
        <v>220</v>
      </c>
      <c r="X277">
        <v>0</v>
      </c>
      <c r="Y277" t="s">
        <v>41</v>
      </c>
      <c r="Z277" t="s">
        <v>219</v>
      </c>
      <c r="AA277" t="s">
        <v>63</v>
      </c>
      <c r="AB277" t="s">
        <v>412</v>
      </c>
      <c r="AC277">
        <v>4</v>
      </c>
      <c r="AD277">
        <v>0</v>
      </c>
      <c r="AE277">
        <v>0</v>
      </c>
      <c r="AF277">
        <v>1</v>
      </c>
      <c r="AG277">
        <v>1</v>
      </c>
      <c r="AH277">
        <v>1</v>
      </c>
      <c r="AI277">
        <v>1</v>
      </c>
      <c r="AJ277" t="s">
        <v>999</v>
      </c>
      <c r="AK277" t="s">
        <v>146</v>
      </c>
      <c r="AL277" t="s">
        <v>147</v>
      </c>
      <c r="AM277" t="str">
        <f t="shared" si="13"/>
        <v>2018-2027</v>
      </c>
      <c r="AN277">
        <f t="shared" si="14"/>
        <v>9</v>
      </c>
    </row>
    <row r="278" spans="1:40" x14ac:dyDescent="0.2">
      <c r="A278">
        <v>277</v>
      </c>
      <c r="B278" t="s">
        <v>1001</v>
      </c>
      <c r="C278" t="s">
        <v>1718</v>
      </c>
      <c r="D278" t="s">
        <v>441</v>
      </c>
      <c r="E278" t="s">
        <v>98</v>
      </c>
      <c r="F278" t="s">
        <v>99</v>
      </c>
      <c r="G278">
        <v>33</v>
      </c>
      <c r="H278">
        <v>14.38684443</v>
      </c>
      <c r="I278" t="s">
        <v>88</v>
      </c>
      <c r="J278">
        <v>14</v>
      </c>
      <c r="K278">
        <v>6.5273151799999987</v>
      </c>
      <c r="L278">
        <v>11</v>
      </c>
      <c r="M278" t="s">
        <v>67</v>
      </c>
      <c r="N278">
        <v>11</v>
      </c>
      <c r="O278">
        <v>67</v>
      </c>
      <c r="P278">
        <v>429</v>
      </c>
      <c r="Q278">
        <v>133</v>
      </c>
      <c r="R278" t="s">
        <v>1000</v>
      </c>
      <c r="S278" s="3" t="s">
        <v>141</v>
      </c>
      <c r="T278" s="3">
        <f t="shared" si="12"/>
        <v>1</v>
      </c>
      <c r="U278" t="s">
        <v>149</v>
      </c>
      <c r="V278" t="s">
        <v>142</v>
      </c>
      <c r="W278" t="s">
        <v>220</v>
      </c>
      <c r="X278">
        <v>0</v>
      </c>
      <c r="Y278" t="s">
        <v>41</v>
      </c>
      <c r="Z278" t="s">
        <v>219</v>
      </c>
      <c r="AA278" t="s">
        <v>63</v>
      </c>
      <c r="AB278" t="s">
        <v>412</v>
      </c>
      <c r="AC278">
        <v>2</v>
      </c>
      <c r="AD278">
        <v>1</v>
      </c>
      <c r="AE278">
        <v>1</v>
      </c>
      <c r="AF278">
        <v>0</v>
      </c>
      <c r="AG278">
        <v>0</v>
      </c>
      <c r="AH278">
        <v>0</v>
      </c>
      <c r="AI278">
        <v>0</v>
      </c>
      <c r="AJ278" t="s">
        <v>1002</v>
      </c>
      <c r="AK278" t="s">
        <v>82</v>
      </c>
      <c r="AL278" t="s">
        <v>83</v>
      </c>
      <c r="AM278" t="str">
        <f t="shared" si="13"/>
        <v>2014-2016</v>
      </c>
      <c r="AN278">
        <f t="shared" si="14"/>
        <v>2</v>
      </c>
    </row>
    <row r="279" spans="1:40" x14ac:dyDescent="0.2">
      <c r="A279">
        <v>278</v>
      </c>
      <c r="B279" t="s">
        <v>1003</v>
      </c>
      <c r="C279" t="s">
        <v>1717</v>
      </c>
      <c r="D279" t="s">
        <v>72</v>
      </c>
      <c r="E279" t="s">
        <v>68</v>
      </c>
      <c r="F279" t="s">
        <v>386</v>
      </c>
      <c r="G279">
        <v>135</v>
      </c>
      <c r="H279">
        <v>59.783341886000002</v>
      </c>
      <c r="I279" t="s">
        <v>385</v>
      </c>
      <c r="J279">
        <v>114</v>
      </c>
      <c r="K279">
        <v>52.472448200000017</v>
      </c>
      <c r="L279">
        <v>20</v>
      </c>
      <c r="M279" t="s">
        <v>67</v>
      </c>
      <c r="N279">
        <v>40</v>
      </c>
      <c r="O279">
        <v>152</v>
      </c>
      <c r="P279">
        <v>1327</v>
      </c>
      <c r="Q279">
        <v>134</v>
      </c>
      <c r="R279" t="s">
        <v>1005</v>
      </c>
      <c r="S279" s="3" t="s">
        <v>141</v>
      </c>
      <c r="T279" s="3">
        <f t="shared" si="12"/>
        <v>1</v>
      </c>
      <c r="U279" t="s">
        <v>149</v>
      </c>
      <c r="V279" t="s">
        <v>142</v>
      </c>
      <c r="W279" t="s">
        <v>220</v>
      </c>
      <c r="X279">
        <v>0</v>
      </c>
      <c r="Y279" t="s">
        <v>41</v>
      </c>
      <c r="Z279" t="s">
        <v>219</v>
      </c>
      <c r="AA279" t="s">
        <v>63</v>
      </c>
      <c r="AB279" t="s">
        <v>412</v>
      </c>
      <c r="AC279">
        <v>2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1</v>
      </c>
      <c r="AJ279" t="s">
        <v>1004</v>
      </c>
      <c r="AK279" t="s">
        <v>55</v>
      </c>
      <c r="AL279" t="s">
        <v>56</v>
      </c>
      <c r="AM279" t="str">
        <f t="shared" si="13"/>
        <v>2022-2027</v>
      </c>
      <c r="AN279">
        <f t="shared" si="14"/>
        <v>5</v>
      </c>
    </row>
    <row r="280" spans="1:40" x14ac:dyDescent="0.2">
      <c r="A280">
        <v>279</v>
      </c>
      <c r="B280" t="s">
        <v>1006</v>
      </c>
      <c r="C280" t="s">
        <v>1718</v>
      </c>
      <c r="D280" t="s">
        <v>123</v>
      </c>
      <c r="E280" t="s">
        <v>68</v>
      </c>
      <c r="F280" t="s">
        <v>509</v>
      </c>
      <c r="G280">
        <v>90</v>
      </c>
      <c r="H280">
        <v>38.815369299999993</v>
      </c>
      <c r="I280" t="s">
        <v>507</v>
      </c>
      <c r="J280">
        <v>68</v>
      </c>
      <c r="K280">
        <v>12.969354151999999</v>
      </c>
      <c r="L280">
        <v>20</v>
      </c>
      <c r="M280" t="s">
        <v>67</v>
      </c>
      <c r="N280">
        <v>37</v>
      </c>
      <c r="O280">
        <v>140</v>
      </c>
      <c r="P280">
        <v>1213</v>
      </c>
      <c r="Q280">
        <v>135</v>
      </c>
      <c r="R280" t="s">
        <v>1008</v>
      </c>
      <c r="S280" s="3" t="s">
        <v>117</v>
      </c>
      <c r="T280" s="3">
        <f t="shared" si="12"/>
        <v>1</v>
      </c>
      <c r="U280" t="s">
        <v>96</v>
      </c>
      <c r="V280" t="s">
        <v>142</v>
      </c>
      <c r="W280" t="s">
        <v>220</v>
      </c>
      <c r="X280">
        <v>0</v>
      </c>
      <c r="Y280" t="s">
        <v>41</v>
      </c>
      <c r="Z280" t="s">
        <v>219</v>
      </c>
      <c r="AA280" t="s">
        <v>43</v>
      </c>
      <c r="AB280" t="s">
        <v>81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 t="s">
        <v>1007</v>
      </c>
      <c r="AK280" t="s">
        <v>65</v>
      </c>
      <c r="AL280" t="s">
        <v>66</v>
      </c>
      <c r="AM280" t="str">
        <f t="shared" si="13"/>
        <v>2024-2027</v>
      </c>
      <c r="AN280">
        <f t="shared" si="14"/>
        <v>3</v>
      </c>
    </row>
    <row r="281" spans="1:40" x14ac:dyDescent="0.2">
      <c r="A281">
        <v>280</v>
      </c>
      <c r="B281" t="s">
        <v>1009</v>
      </c>
      <c r="C281" t="s">
        <v>1718</v>
      </c>
      <c r="D281" t="s">
        <v>114</v>
      </c>
      <c r="E281" t="s">
        <v>68</v>
      </c>
      <c r="F281" t="s">
        <v>447</v>
      </c>
      <c r="G281">
        <v>322</v>
      </c>
      <c r="H281">
        <v>184.20348783499989</v>
      </c>
      <c r="I281" t="s">
        <v>446</v>
      </c>
      <c r="J281">
        <v>265</v>
      </c>
      <c r="K281">
        <v>126.775154495</v>
      </c>
      <c r="L281">
        <v>69</v>
      </c>
      <c r="M281" t="s">
        <v>49</v>
      </c>
      <c r="N281">
        <v>240</v>
      </c>
      <c r="O281">
        <v>416</v>
      </c>
      <c r="P281">
        <v>16006</v>
      </c>
      <c r="Q281">
        <v>135</v>
      </c>
      <c r="R281" t="s">
        <v>1008</v>
      </c>
      <c r="S281" s="3" t="s">
        <v>117</v>
      </c>
      <c r="T281" s="3">
        <f t="shared" si="12"/>
        <v>1</v>
      </c>
      <c r="U281" t="s">
        <v>96</v>
      </c>
      <c r="V281" t="s">
        <v>142</v>
      </c>
      <c r="W281" t="s">
        <v>220</v>
      </c>
      <c r="X281">
        <v>0</v>
      </c>
      <c r="Y281" t="s">
        <v>41</v>
      </c>
      <c r="Z281" t="s">
        <v>219</v>
      </c>
      <c r="AA281" t="s">
        <v>43</v>
      </c>
      <c r="AB281" t="s">
        <v>81</v>
      </c>
      <c r="AC281">
        <v>2</v>
      </c>
      <c r="AD281">
        <v>1</v>
      </c>
      <c r="AE281">
        <v>1</v>
      </c>
      <c r="AF281">
        <v>0</v>
      </c>
      <c r="AG281">
        <v>0</v>
      </c>
      <c r="AH281">
        <v>0</v>
      </c>
      <c r="AI281">
        <v>0</v>
      </c>
      <c r="AJ281" t="s">
        <v>1010</v>
      </c>
      <c r="AK281" t="s">
        <v>74</v>
      </c>
      <c r="AL281" t="s">
        <v>75</v>
      </c>
      <c r="AM281" t="str">
        <f t="shared" si="13"/>
        <v>2014-2018</v>
      </c>
      <c r="AN281">
        <f t="shared" si="14"/>
        <v>4</v>
      </c>
    </row>
    <row r="282" spans="1:40" x14ac:dyDescent="0.2">
      <c r="A282">
        <v>281</v>
      </c>
      <c r="B282" t="s">
        <v>1011</v>
      </c>
      <c r="C282" t="s">
        <v>1717</v>
      </c>
      <c r="D282" t="s">
        <v>114</v>
      </c>
      <c r="E282" t="s">
        <v>50</v>
      </c>
      <c r="F282" t="s">
        <v>120</v>
      </c>
      <c r="G282">
        <v>147</v>
      </c>
      <c r="H282">
        <v>78.268654969999986</v>
      </c>
      <c r="I282" t="s">
        <v>115</v>
      </c>
      <c r="J282">
        <v>74</v>
      </c>
      <c r="K282">
        <v>10.997327992000001</v>
      </c>
      <c r="L282">
        <v>45</v>
      </c>
      <c r="M282" t="s">
        <v>49</v>
      </c>
      <c r="N282">
        <v>107</v>
      </c>
      <c r="O282">
        <v>178</v>
      </c>
      <c r="P282">
        <v>6864</v>
      </c>
      <c r="Q282">
        <v>135</v>
      </c>
      <c r="R282" t="s">
        <v>1008</v>
      </c>
      <c r="S282" s="3" t="s">
        <v>117</v>
      </c>
      <c r="T282" s="3">
        <f t="shared" si="12"/>
        <v>1</v>
      </c>
      <c r="U282" t="s">
        <v>96</v>
      </c>
      <c r="V282" t="s">
        <v>142</v>
      </c>
      <c r="W282" t="s">
        <v>220</v>
      </c>
      <c r="X282">
        <v>0</v>
      </c>
      <c r="Y282" t="s">
        <v>41</v>
      </c>
      <c r="Z282" t="s">
        <v>219</v>
      </c>
      <c r="AA282" t="s">
        <v>43</v>
      </c>
      <c r="AB282" t="s">
        <v>81</v>
      </c>
      <c r="AC282">
        <v>2</v>
      </c>
      <c r="AD282">
        <v>0</v>
      </c>
      <c r="AE282">
        <v>0</v>
      </c>
      <c r="AF282">
        <v>1</v>
      </c>
      <c r="AG282">
        <v>1</v>
      </c>
      <c r="AH282">
        <v>0</v>
      </c>
      <c r="AI282">
        <v>0</v>
      </c>
      <c r="AJ282" t="s">
        <v>1012</v>
      </c>
      <c r="AK282" t="s">
        <v>193</v>
      </c>
      <c r="AL282" t="s">
        <v>194</v>
      </c>
      <c r="AM282" t="str">
        <f t="shared" si="13"/>
        <v>2018-2021</v>
      </c>
      <c r="AN282">
        <f t="shared" si="14"/>
        <v>3</v>
      </c>
    </row>
    <row r="283" spans="1:40" x14ac:dyDescent="0.2">
      <c r="A283">
        <v>282</v>
      </c>
      <c r="B283" t="s">
        <v>1013</v>
      </c>
      <c r="C283" t="s">
        <v>1717</v>
      </c>
      <c r="D283" t="s">
        <v>123</v>
      </c>
      <c r="E283" t="s">
        <v>68</v>
      </c>
      <c r="F283" t="s">
        <v>127</v>
      </c>
      <c r="G283">
        <v>238</v>
      </c>
      <c r="H283">
        <v>135.23505227000001</v>
      </c>
      <c r="I283" t="s">
        <v>124</v>
      </c>
      <c r="J283">
        <v>137</v>
      </c>
      <c r="K283">
        <v>61.846392649999991</v>
      </c>
      <c r="L283">
        <v>19</v>
      </c>
      <c r="M283" t="s">
        <v>67</v>
      </c>
      <c r="N283">
        <v>44</v>
      </c>
      <c r="O283">
        <v>265</v>
      </c>
      <c r="P283">
        <v>1693</v>
      </c>
      <c r="Q283">
        <v>135</v>
      </c>
      <c r="R283" t="s">
        <v>1008</v>
      </c>
      <c r="S283" s="3" t="s">
        <v>117</v>
      </c>
      <c r="T283" s="3">
        <f t="shared" si="12"/>
        <v>1</v>
      </c>
      <c r="U283" t="s">
        <v>96</v>
      </c>
      <c r="V283" t="s">
        <v>142</v>
      </c>
      <c r="W283" t="s">
        <v>220</v>
      </c>
      <c r="X283">
        <v>0</v>
      </c>
      <c r="Y283" t="s">
        <v>41</v>
      </c>
      <c r="Z283" t="s">
        <v>219</v>
      </c>
      <c r="AA283" t="s">
        <v>43</v>
      </c>
      <c r="AB283" t="s">
        <v>81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 t="s">
        <v>1014</v>
      </c>
      <c r="AK283" t="s">
        <v>125</v>
      </c>
      <c r="AL283" t="s">
        <v>126</v>
      </c>
      <c r="AM283" t="str">
        <f t="shared" si="13"/>
        <v>2022-2024</v>
      </c>
      <c r="AN283">
        <f t="shared" si="14"/>
        <v>2</v>
      </c>
    </row>
    <row r="284" spans="1:40" x14ac:dyDescent="0.2">
      <c r="A284">
        <v>283</v>
      </c>
      <c r="B284" t="s">
        <v>1015</v>
      </c>
      <c r="C284" t="s">
        <v>1718</v>
      </c>
      <c r="D284" t="s">
        <v>60</v>
      </c>
      <c r="E284" t="s">
        <v>98</v>
      </c>
      <c r="F284" t="s">
        <v>99</v>
      </c>
      <c r="G284">
        <v>11</v>
      </c>
      <c r="H284">
        <v>4.92883944</v>
      </c>
      <c r="I284" t="s">
        <v>88</v>
      </c>
      <c r="J284">
        <v>9</v>
      </c>
      <c r="K284">
        <v>4.5503547800000002</v>
      </c>
      <c r="L284">
        <v>4</v>
      </c>
      <c r="M284" t="s">
        <v>97</v>
      </c>
      <c r="N284">
        <v>3</v>
      </c>
      <c r="O284">
        <v>19</v>
      </c>
      <c r="P284">
        <v>88</v>
      </c>
      <c r="Q284">
        <v>136</v>
      </c>
      <c r="R284" t="s">
        <v>1017</v>
      </c>
      <c r="S284" s="3">
        <v>4</v>
      </c>
      <c r="T284" s="3">
        <f t="shared" si="12"/>
        <v>1</v>
      </c>
      <c r="U284" t="s">
        <v>96</v>
      </c>
      <c r="V284" t="s">
        <v>142</v>
      </c>
      <c r="W284" t="s">
        <v>220</v>
      </c>
      <c r="X284">
        <v>0</v>
      </c>
      <c r="Y284" t="s">
        <v>41</v>
      </c>
      <c r="Z284" t="s">
        <v>219</v>
      </c>
      <c r="AA284" t="s">
        <v>63</v>
      </c>
      <c r="AB284" t="s">
        <v>145</v>
      </c>
      <c r="AC284">
        <v>2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1</v>
      </c>
      <c r="AJ284" t="s">
        <v>1016</v>
      </c>
      <c r="AK284" t="s">
        <v>55</v>
      </c>
      <c r="AL284" t="s">
        <v>56</v>
      </c>
      <c r="AM284" t="str">
        <f t="shared" si="13"/>
        <v>2022-2027</v>
      </c>
      <c r="AN284">
        <f t="shared" si="14"/>
        <v>5</v>
      </c>
    </row>
    <row r="285" spans="1:40" x14ac:dyDescent="0.2">
      <c r="A285">
        <v>284</v>
      </c>
      <c r="B285" t="s">
        <v>1018</v>
      </c>
      <c r="C285" t="s">
        <v>1718</v>
      </c>
      <c r="D285" t="s">
        <v>60</v>
      </c>
      <c r="E285" t="s">
        <v>98</v>
      </c>
      <c r="F285" t="s">
        <v>99</v>
      </c>
      <c r="G285">
        <v>17</v>
      </c>
      <c r="H285">
        <v>6.484760650000001</v>
      </c>
      <c r="I285" t="s">
        <v>88</v>
      </c>
      <c r="J285">
        <v>20</v>
      </c>
      <c r="K285">
        <v>10.22728124</v>
      </c>
      <c r="L285">
        <v>5</v>
      </c>
      <c r="M285" t="s">
        <v>119</v>
      </c>
      <c r="N285">
        <v>4</v>
      </c>
      <c r="O285">
        <v>31</v>
      </c>
      <c r="P285">
        <v>105</v>
      </c>
      <c r="Q285">
        <v>137</v>
      </c>
      <c r="R285" t="s">
        <v>1020</v>
      </c>
      <c r="S285" s="3" t="s">
        <v>90</v>
      </c>
      <c r="T285" s="3">
        <f t="shared" si="12"/>
        <v>1</v>
      </c>
      <c r="U285" t="s">
        <v>96</v>
      </c>
      <c r="V285" t="s">
        <v>142</v>
      </c>
      <c r="W285" t="s">
        <v>220</v>
      </c>
      <c r="X285">
        <v>0</v>
      </c>
      <c r="Y285" t="s">
        <v>41</v>
      </c>
      <c r="Z285" t="s">
        <v>219</v>
      </c>
      <c r="AA285" t="s">
        <v>63</v>
      </c>
      <c r="AB285" t="s">
        <v>64</v>
      </c>
      <c r="AC285">
        <v>3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1</v>
      </c>
      <c r="AJ285" t="s">
        <v>1019</v>
      </c>
      <c r="AK285" t="s">
        <v>269</v>
      </c>
      <c r="AL285" t="s">
        <v>270</v>
      </c>
      <c r="AM285" t="str">
        <f t="shared" si="13"/>
        <v>2020-2027</v>
      </c>
      <c r="AN285">
        <f t="shared" si="14"/>
        <v>7</v>
      </c>
    </row>
    <row r="286" spans="1:40" x14ac:dyDescent="0.2">
      <c r="A286">
        <v>285</v>
      </c>
      <c r="B286" t="s">
        <v>1021</v>
      </c>
      <c r="C286" t="s">
        <v>1717</v>
      </c>
      <c r="D286" t="s">
        <v>123</v>
      </c>
      <c r="E286" t="s">
        <v>98</v>
      </c>
      <c r="F286" t="s">
        <v>99</v>
      </c>
      <c r="G286">
        <v>6</v>
      </c>
      <c r="H286">
        <v>1.7088940800000001</v>
      </c>
      <c r="I286" t="s">
        <v>88</v>
      </c>
      <c r="J286">
        <v>3</v>
      </c>
      <c r="K286">
        <v>1.28930959</v>
      </c>
      <c r="L286">
        <v>0</v>
      </c>
      <c r="M286" t="s">
        <v>137</v>
      </c>
      <c r="N286">
        <v>0</v>
      </c>
      <c r="O286">
        <v>13</v>
      </c>
      <c r="P286">
        <v>0</v>
      </c>
      <c r="Q286">
        <v>137</v>
      </c>
      <c r="R286" t="s">
        <v>1020</v>
      </c>
      <c r="S286" s="3" t="s">
        <v>90</v>
      </c>
      <c r="T286" s="3">
        <f t="shared" si="12"/>
        <v>1</v>
      </c>
      <c r="U286" t="s">
        <v>96</v>
      </c>
      <c r="V286" t="s">
        <v>142</v>
      </c>
      <c r="W286" t="s">
        <v>220</v>
      </c>
      <c r="X286">
        <v>0</v>
      </c>
      <c r="Y286" t="s">
        <v>41</v>
      </c>
      <c r="Z286" t="s">
        <v>219</v>
      </c>
      <c r="AA286" t="s">
        <v>63</v>
      </c>
      <c r="AB286" t="s">
        <v>64</v>
      </c>
      <c r="AC286">
        <v>1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 t="s">
        <v>1022</v>
      </c>
      <c r="AK286" t="s">
        <v>320</v>
      </c>
      <c r="AL286" t="s">
        <v>321</v>
      </c>
      <c r="AM286" t="str">
        <f t="shared" si="13"/>
        <v>2016-2018</v>
      </c>
      <c r="AN286">
        <f t="shared" si="14"/>
        <v>2</v>
      </c>
    </row>
    <row r="287" spans="1:40" x14ac:dyDescent="0.2">
      <c r="A287">
        <v>286</v>
      </c>
      <c r="B287" t="s">
        <v>1023</v>
      </c>
      <c r="C287" t="s">
        <v>1717</v>
      </c>
      <c r="D287" t="s">
        <v>72</v>
      </c>
      <c r="E287" t="s">
        <v>68</v>
      </c>
      <c r="F287" t="s">
        <v>1026</v>
      </c>
      <c r="G287">
        <v>153</v>
      </c>
      <c r="H287">
        <v>85.64280398599999</v>
      </c>
      <c r="I287" t="s">
        <v>1025</v>
      </c>
      <c r="J287">
        <v>92</v>
      </c>
      <c r="K287">
        <v>21.593168432999999</v>
      </c>
      <c r="L287">
        <v>27</v>
      </c>
      <c r="M287" t="s">
        <v>49</v>
      </c>
      <c r="N287">
        <v>67</v>
      </c>
      <c r="O287">
        <v>178</v>
      </c>
      <c r="P287">
        <v>2236</v>
      </c>
      <c r="Q287">
        <v>137</v>
      </c>
      <c r="R287" t="s">
        <v>1020</v>
      </c>
      <c r="S287" s="3" t="s">
        <v>90</v>
      </c>
      <c r="T287" s="3">
        <f t="shared" si="12"/>
        <v>1</v>
      </c>
      <c r="U287" t="s">
        <v>96</v>
      </c>
      <c r="V287" t="s">
        <v>142</v>
      </c>
      <c r="W287" t="s">
        <v>220</v>
      </c>
      <c r="X287">
        <v>0</v>
      </c>
      <c r="Y287" t="s">
        <v>41</v>
      </c>
      <c r="Z287" t="s">
        <v>219</v>
      </c>
      <c r="AA287" t="s">
        <v>63</v>
      </c>
      <c r="AB287" t="s">
        <v>64</v>
      </c>
      <c r="AC287">
        <v>1</v>
      </c>
      <c r="AD287">
        <v>0</v>
      </c>
      <c r="AE287">
        <v>0</v>
      </c>
      <c r="AF287">
        <v>1</v>
      </c>
      <c r="AG287">
        <v>0</v>
      </c>
      <c r="AH287">
        <v>0</v>
      </c>
      <c r="AI287">
        <v>0</v>
      </c>
      <c r="AJ287" t="s">
        <v>1024</v>
      </c>
      <c r="AK287" t="s">
        <v>202</v>
      </c>
      <c r="AL287" t="s">
        <v>203</v>
      </c>
      <c r="AM287" t="str">
        <f t="shared" si="13"/>
        <v>2018-2020</v>
      </c>
      <c r="AN287">
        <f t="shared" si="14"/>
        <v>2</v>
      </c>
    </row>
    <row r="288" spans="1:40" x14ac:dyDescent="0.2">
      <c r="A288">
        <v>287</v>
      </c>
      <c r="B288" t="s">
        <v>1027</v>
      </c>
      <c r="C288" t="s">
        <v>1718</v>
      </c>
      <c r="D288" t="s">
        <v>231</v>
      </c>
      <c r="E288" t="s">
        <v>98</v>
      </c>
      <c r="F288" t="s">
        <v>99</v>
      </c>
      <c r="G288">
        <v>63</v>
      </c>
      <c r="H288">
        <v>23.69982687000001</v>
      </c>
      <c r="I288" t="s">
        <v>88</v>
      </c>
      <c r="J288">
        <v>57</v>
      </c>
      <c r="K288">
        <v>25.701366919999991</v>
      </c>
      <c r="L288">
        <v>19</v>
      </c>
      <c r="M288" t="s">
        <v>67</v>
      </c>
      <c r="N288">
        <v>23</v>
      </c>
      <c r="O288">
        <v>105</v>
      </c>
      <c r="P288">
        <v>1159</v>
      </c>
      <c r="Q288">
        <v>137</v>
      </c>
      <c r="R288" t="s">
        <v>1020</v>
      </c>
      <c r="S288" s="3" t="s">
        <v>90</v>
      </c>
      <c r="T288" s="3">
        <f t="shared" si="12"/>
        <v>1</v>
      </c>
      <c r="U288" t="s">
        <v>96</v>
      </c>
      <c r="V288" t="s">
        <v>142</v>
      </c>
      <c r="W288" t="s">
        <v>220</v>
      </c>
      <c r="X288">
        <v>0</v>
      </c>
      <c r="Y288" t="s">
        <v>41</v>
      </c>
      <c r="Z288" t="s">
        <v>219</v>
      </c>
      <c r="AA288" t="s">
        <v>63</v>
      </c>
      <c r="AB288" t="s">
        <v>64</v>
      </c>
      <c r="AC288">
        <v>2</v>
      </c>
      <c r="AD288">
        <v>1</v>
      </c>
      <c r="AE288">
        <v>1</v>
      </c>
      <c r="AF288">
        <v>0</v>
      </c>
      <c r="AG288">
        <v>0</v>
      </c>
      <c r="AH288">
        <v>0</v>
      </c>
      <c r="AI288">
        <v>0</v>
      </c>
      <c r="AJ288" t="s">
        <v>1028</v>
      </c>
      <c r="AK288" t="s">
        <v>82</v>
      </c>
      <c r="AL288" t="s">
        <v>83</v>
      </c>
      <c r="AM288" t="str">
        <f t="shared" si="13"/>
        <v>2014-2016</v>
      </c>
      <c r="AN288">
        <f t="shared" si="14"/>
        <v>2</v>
      </c>
    </row>
    <row r="289" spans="1:40" x14ac:dyDescent="0.2">
      <c r="A289">
        <v>288</v>
      </c>
      <c r="B289" t="s">
        <v>1029</v>
      </c>
      <c r="C289" t="s">
        <v>1717</v>
      </c>
      <c r="D289" t="s">
        <v>72</v>
      </c>
      <c r="E289" t="s">
        <v>68</v>
      </c>
      <c r="F289" t="s">
        <v>386</v>
      </c>
      <c r="G289">
        <v>57</v>
      </c>
      <c r="H289">
        <v>14.216563560999999</v>
      </c>
      <c r="I289" t="s">
        <v>385</v>
      </c>
      <c r="J289">
        <v>50</v>
      </c>
      <c r="K289">
        <v>22.477153359999999</v>
      </c>
      <c r="L289">
        <v>14</v>
      </c>
      <c r="M289" t="s">
        <v>67</v>
      </c>
      <c r="N289">
        <v>22</v>
      </c>
      <c r="O289">
        <v>100</v>
      </c>
      <c r="P289">
        <v>812</v>
      </c>
      <c r="Q289">
        <v>138</v>
      </c>
      <c r="R289" t="s">
        <v>1031</v>
      </c>
      <c r="S289" s="3" t="s">
        <v>141</v>
      </c>
      <c r="T289" s="3">
        <f t="shared" si="12"/>
        <v>1</v>
      </c>
      <c r="U289" t="s">
        <v>149</v>
      </c>
      <c r="V289" t="s">
        <v>142</v>
      </c>
      <c r="W289" t="s">
        <v>220</v>
      </c>
      <c r="X289">
        <v>0</v>
      </c>
      <c r="Y289" t="s">
        <v>41</v>
      </c>
      <c r="Z289" t="s">
        <v>219</v>
      </c>
      <c r="AA289" t="s">
        <v>191</v>
      </c>
      <c r="AB289" t="s">
        <v>297</v>
      </c>
      <c r="AC289">
        <v>2</v>
      </c>
      <c r="AD289">
        <v>0</v>
      </c>
      <c r="AE289">
        <v>1</v>
      </c>
      <c r="AF289">
        <v>1</v>
      </c>
      <c r="AG289">
        <v>0</v>
      </c>
      <c r="AH289">
        <v>0</v>
      </c>
      <c r="AI289">
        <v>0</v>
      </c>
      <c r="AJ289" t="s">
        <v>1030</v>
      </c>
      <c r="AK289" t="s">
        <v>156</v>
      </c>
      <c r="AL289" t="s">
        <v>157</v>
      </c>
      <c r="AM289" t="str">
        <f t="shared" si="13"/>
        <v>2016-2020</v>
      </c>
      <c r="AN289">
        <f t="shared" si="14"/>
        <v>4</v>
      </c>
    </row>
    <row r="290" spans="1:40" x14ac:dyDescent="0.2">
      <c r="A290">
        <v>289</v>
      </c>
      <c r="B290" t="s">
        <v>1032</v>
      </c>
      <c r="C290" t="s">
        <v>1717</v>
      </c>
      <c r="D290" t="s">
        <v>1034</v>
      </c>
      <c r="E290" t="s">
        <v>68</v>
      </c>
      <c r="F290" t="s">
        <v>1036</v>
      </c>
      <c r="G290">
        <v>1</v>
      </c>
      <c r="H290">
        <v>0.79668545999999996</v>
      </c>
      <c r="I290" t="s">
        <v>1035</v>
      </c>
      <c r="J290">
        <v>1</v>
      </c>
      <c r="K290">
        <v>0.57854819999999996</v>
      </c>
      <c r="L290">
        <v>1</v>
      </c>
      <c r="M290" t="s">
        <v>137</v>
      </c>
      <c r="N290">
        <v>0</v>
      </c>
      <c r="O290">
        <v>2</v>
      </c>
      <c r="P290">
        <v>3</v>
      </c>
      <c r="Q290">
        <v>138</v>
      </c>
      <c r="R290" t="s">
        <v>1031</v>
      </c>
      <c r="S290" s="3" t="s">
        <v>141</v>
      </c>
      <c r="T290" s="3">
        <f t="shared" si="12"/>
        <v>1</v>
      </c>
      <c r="U290" t="s">
        <v>149</v>
      </c>
      <c r="V290" t="s">
        <v>142</v>
      </c>
      <c r="W290" t="s">
        <v>220</v>
      </c>
      <c r="X290">
        <v>0</v>
      </c>
      <c r="Y290" t="s">
        <v>41</v>
      </c>
      <c r="Z290" t="s">
        <v>219</v>
      </c>
      <c r="AA290" t="s">
        <v>191</v>
      </c>
      <c r="AB290" t="s">
        <v>297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 t="s">
        <v>1033</v>
      </c>
      <c r="AK290" t="s">
        <v>65</v>
      </c>
      <c r="AL290" t="s">
        <v>66</v>
      </c>
      <c r="AM290" t="str">
        <f t="shared" si="13"/>
        <v>2024-2027</v>
      </c>
      <c r="AN290">
        <f t="shared" si="14"/>
        <v>3</v>
      </c>
    </row>
    <row r="291" spans="1:40" x14ac:dyDescent="0.2">
      <c r="A291">
        <v>290</v>
      </c>
      <c r="B291" t="s">
        <v>1037</v>
      </c>
      <c r="C291" t="s">
        <v>1717</v>
      </c>
      <c r="D291" t="s">
        <v>123</v>
      </c>
      <c r="E291" t="s">
        <v>68</v>
      </c>
      <c r="F291" t="s">
        <v>509</v>
      </c>
      <c r="G291">
        <v>319</v>
      </c>
      <c r="H291">
        <v>155.0095530000001</v>
      </c>
      <c r="I291" t="s">
        <v>507</v>
      </c>
      <c r="J291">
        <v>286</v>
      </c>
      <c r="K291">
        <v>56.398338306000028</v>
      </c>
      <c r="L291">
        <v>41</v>
      </c>
      <c r="M291" t="s">
        <v>49</v>
      </c>
      <c r="N291">
        <v>123</v>
      </c>
      <c r="O291">
        <v>345</v>
      </c>
      <c r="P291">
        <v>5329</v>
      </c>
      <c r="Q291">
        <v>138</v>
      </c>
      <c r="R291" t="s">
        <v>1031</v>
      </c>
      <c r="S291" s="3" t="s">
        <v>141</v>
      </c>
      <c r="T291" s="3">
        <f t="shared" si="12"/>
        <v>1</v>
      </c>
      <c r="U291" t="s">
        <v>149</v>
      </c>
      <c r="V291" t="s">
        <v>142</v>
      </c>
      <c r="W291" t="s">
        <v>220</v>
      </c>
      <c r="X291">
        <v>0</v>
      </c>
      <c r="Y291" t="s">
        <v>41</v>
      </c>
      <c r="Z291" t="s">
        <v>219</v>
      </c>
      <c r="AA291" t="s">
        <v>191</v>
      </c>
      <c r="AB291" t="s">
        <v>297</v>
      </c>
      <c r="AC291">
        <v>2</v>
      </c>
      <c r="AD291">
        <v>0</v>
      </c>
      <c r="AE291">
        <v>0</v>
      </c>
      <c r="AF291">
        <v>0</v>
      </c>
      <c r="AG291">
        <v>1</v>
      </c>
      <c r="AH291">
        <v>1</v>
      </c>
      <c r="AI291">
        <v>0</v>
      </c>
      <c r="AJ291" t="s">
        <v>1038</v>
      </c>
      <c r="AK291" t="s">
        <v>213</v>
      </c>
      <c r="AL291" t="s">
        <v>214</v>
      </c>
      <c r="AM291" t="str">
        <f t="shared" si="13"/>
        <v>2020-2024</v>
      </c>
      <c r="AN291">
        <f t="shared" si="14"/>
        <v>4</v>
      </c>
    </row>
    <row r="292" spans="1:40" x14ac:dyDescent="0.2">
      <c r="A292">
        <v>291</v>
      </c>
      <c r="B292" t="s">
        <v>1039</v>
      </c>
      <c r="C292" t="s">
        <v>1718</v>
      </c>
      <c r="D292" t="s">
        <v>72</v>
      </c>
      <c r="E292" t="s">
        <v>68</v>
      </c>
      <c r="F292" t="s">
        <v>386</v>
      </c>
      <c r="G292">
        <v>118</v>
      </c>
      <c r="H292">
        <v>41.613955621000002</v>
      </c>
      <c r="I292" t="s">
        <v>385</v>
      </c>
      <c r="J292">
        <v>112</v>
      </c>
      <c r="K292">
        <v>59.187686540000023</v>
      </c>
      <c r="L292">
        <v>19</v>
      </c>
      <c r="M292" t="s">
        <v>67</v>
      </c>
      <c r="N292">
        <v>45</v>
      </c>
      <c r="O292">
        <v>130</v>
      </c>
      <c r="P292">
        <v>1440</v>
      </c>
      <c r="Q292">
        <v>139</v>
      </c>
      <c r="R292" t="s">
        <v>1041</v>
      </c>
      <c r="S292" s="3" t="s">
        <v>90</v>
      </c>
      <c r="T292" s="3">
        <f t="shared" si="12"/>
        <v>1</v>
      </c>
      <c r="U292" t="s">
        <v>96</v>
      </c>
      <c r="V292" t="s">
        <v>142</v>
      </c>
      <c r="W292" t="s">
        <v>220</v>
      </c>
      <c r="X292">
        <v>0</v>
      </c>
      <c r="Y292" t="s">
        <v>41</v>
      </c>
      <c r="Z292" t="s">
        <v>219</v>
      </c>
      <c r="AA292" t="s">
        <v>224</v>
      </c>
      <c r="AB292" t="s">
        <v>225</v>
      </c>
      <c r="AC292">
        <v>2</v>
      </c>
      <c r="AD292">
        <v>1</v>
      </c>
      <c r="AE292">
        <v>1</v>
      </c>
      <c r="AF292">
        <v>0</v>
      </c>
      <c r="AG292">
        <v>0</v>
      </c>
      <c r="AH292">
        <v>0</v>
      </c>
      <c r="AI292">
        <v>0</v>
      </c>
      <c r="AJ292" t="s">
        <v>1040</v>
      </c>
      <c r="AK292" t="s">
        <v>82</v>
      </c>
      <c r="AL292" t="s">
        <v>83</v>
      </c>
      <c r="AM292" t="str">
        <f t="shared" si="13"/>
        <v>2014-2016</v>
      </c>
      <c r="AN292">
        <f t="shared" si="14"/>
        <v>2</v>
      </c>
    </row>
    <row r="293" spans="1:40" x14ac:dyDescent="0.2">
      <c r="A293">
        <v>292</v>
      </c>
      <c r="B293" t="s">
        <v>1042</v>
      </c>
      <c r="C293" t="s">
        <v>1718</v>
      </c>
      <c r="D293" t="s">
        <v>114</v>
      </c>
      <c r="E293" t="s">
        <v>50</v>
      </c>
      <c r="F293" t="s">
        <v>120</v>
      </c>
      <c r="G293">
        <v>150</v>
      </c>
      <c r="H293">
        <v>76.10679561100001</v>
      </c>
      <c r="I293" t="s">
        <v>115</v>
      </c>
      <c r="J293">
        <v>89</v>
      </c>
      <c r="K293">
        <v>6.4612051370000021</v>
      </c>
      <c r="L293">
        <v>31</v>
      </c>
      <c r="M293" t="s">
        <v>49</v>
      </c>
      <c r="N293">
        <v>63</v>
      </c>
      <c r="O293">
        <v>200</v>
      </c>
      <c r="P293">
        <v>3281</v>
      </c>
      <c r="Q293">
        <v>140</v>
      </c>
      <c r="R293" t="s">
        <v>1044</v>
      </c>
      <c r="S293" s="3" t="s">
        <v>117</v>
      </c>
      <c r="T293" s="3">
        <f t="shared" si="12"/>
        <v>1</v>
      </c>
      <c r="U293" t="s">
        <v>96</v>
      </c>
      <c r="V293" t="s">
        <v>142</v>
      </c>
      <c r="W293" t="s">
        <v>220</v>
      </c>
      <c r="X293">
        <v>0</v>
      </c>
      <c r="Y293" t="s">
        <v>41</v>
      </c>
      <c r="Z293" t="s">
        <v>219</v>
      </c>
      <c r="AA293" t="s">
        <v>224</v>
      </c>
      <c r="AB293" t="s">
        <v>225</v>
      </c>
      <c r="AC293">
        <v>2</v>
      </c>
      <c r="AD293">
        <v>0</v>
      </c>
      <c r="AE293">
        <v>1</v>
      </c>
      <c r="AF293">
        <v>1</v>
      </c>
      <c r="AG293">
        <v>0</v>
      </c>
      <c r="AH293">
        <v>0</v>
      </c>
      <c r="AI293">
        <v>0</v>
      </c>
      <c r="AJ293" t="s">
        <v>1043</v>
      </c>
      <c r="AK293" t="s">
        <v>156</v>
      </c>
      <c r="AL293" t="s">
        <v>157</v>
      </c>
      <c r="AM293" t="str">
        <f t="shared" si="13"/>
        <v>2016-2020</v>
      </c>
      <c r="AN293">
        <f t="shared" si="14"/>
        <v>4</v>
      </c>
    </row>
    <row r="294" spans="1:40" x14ac:dyDescent="0.2">
      <c r="A294">
        <v>293</v>
      </c>
      <c r="B294" t="s">
        <v>1045</v>
      </c>
      <c r="C294" t="s">
        <v>1717</v>
      </c>
      <c r="D294" t="s">
        <v>72</v>
      </c>
      <c r="E294" t="s">
        <v>68</v>
      </c>
      <c r="F294" t="s">
        <v>408</v>
      </c>
      <c r="G294">
        <v>260</v>
      </c>
      <c r="H294">
        <v>95.970763339999991</v>
      </c>
      <c r="I294" t="s">
        <v>407</v>
      </c>
      <c r="J294">
        <v>194</v>
      </c>
      <c r="K294">
        <v>96.187313449999948</v>
      </c>
      <c r="L294">
        <v>23</v>
      </c>
      <c r="M294" t="s">
        <v>49</v>
      </c>
      <c r="N294">
        <v>84</v>
      </c>
      <c r="O294">
        <v>275</v>
      </c>
      <c r="P294">
        <v>2580</v>
      </c>
      <c r="Q294">
        <v>140</v>
      </c>
      <c r="R294" t="s">
        <v>1044</v>
      </c>
      <c r="S294" s="3" t="s">
        <v>117</v>
      </c>
      <c r="T294" s="3">
        <f t="shared" si="12"/>
        <v>1</v>
      </c>
      <c r="U294" t="s">
        <v>96</v>
      </c>
      <c r="V294" t="s">
        <v>142</v>
      </c>
      <c r="W294" t="s">
        <v>220</v>
      </c>
      <c r="X294">
        <v>0</v>
      </c>
      <c r="Y294" t="s">
        <v>41</v>
      </c>
      <c r="Z294" t="s">
        <v>219</v>
      </c>
      <c r="AA294" t="s">
        <v>224</v>
      </c>
      <c r="AB294" t="s">
        <v>225</v>
      </c>
      <c r="AC294">
        <v>1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 t="s">
        <v>1046</v>
      </c>
      <c r="AK294" t="s">
        <v>93</v>
      </c>
      <c r="AL294" t="s">
        <v>94</v>
      </c>
      <c r="AM294" t="str">
        <f t="shared" si="13"/>
        <v>2020-2021</v>
      </c>
      <c r="AN294">
        <f t="shared" si="14"/>
        <v>1</v>
      </c>
    </row>
    <row r="295" spans="1:40" x14ac:dyDescent="0.2">
      <c r="A295">
        <v>294</v>
      </c>
      <c r="B295" t="s">
        <v>1047</v>
      </c>
      <c r="C295" t="s">
        <v>1717</v>
      </c>
      <c r="D295" t="s">
        <v>79</v>
      </c>
      <c r="E295" t="s">
        <v>50</v>
      </c>
      <c r="F295" t="s">
        <v>51</v>
      </c>
      <c r="G295">
        <v>146</v>
      </c>
      <c r="H295">
        <v>105.40156306999999</v>
      </c>
      <c r="I295" t="s">
        <v>38</v>
      </c>
      <c r="J295">
        <v>67</v>
      </c>
      <c r="K295">
        <v>29.364628450000001</v>
      </c>
      <c r="L295">
        <v>25</v>
      </c>
      <c r="M295" t="s">
        <v>49</v>
      </c>
      <c r="N295">
        <v>67</v>
      </c>
      <c r="O295">
        <v>155</v>
      </c>
      <c r="P295">
        <v>1839</v>
      </c>
      <c r="Q295">
        <v>140</v>
      </c>
      <c r="R295" t="s">
        <v>1044</v>
      </c>
      <c r="S295" s="3" t="s">
        <v>117</v>
      </c>
      <c r="T295" s="3">
        <f t="shared" si="12"/>
        <v>1</v>
      </c>
      <c r="U295" t="s">
        <v>96</v>
      </c>
      <c r="V295" t="s">
        <v>142</v>
      </c>
      <c r="W295" t="s">
        <v>220</v>
      </c>
      <c r="X295">
        <v>0</v>
      </c>
      <c r="Y295" t="s">
        <v>41</v>
      </c>
      <c r="Z295" t="s">
        <v>219</v>
      </c>
      <c r="AA295" t="s">
        <v>224</v>
      </c>
      <c r="AB295" t="s">
        <v>225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 t="s">
        <v>1048</v>
      </c>
      <c r="AK295" t="s">
        <v>125</v>
      </c>
      <c r="AL295" t="s">
        <v>126</v>
      </c>
      <c r="AM295" t="str">
        <f t="shared" si="13"/>
        <v>2022-2024</v>
      </c>
      <c r="AN295">
        <f t="shared" si="14"/>
        <v>2</v>
      </c>
    </row>
    <row r="296" spans="1:40" x14ac:dyDescent="0.2">
      <c r="A296">
        <v>295</v>
      </c>
      <c r="B296" t="s">
        <v>1049</v>
      </c>
      <c r="C296" t="s">
        <v>1718</v>
      </c>
      <c r="D296" t="s">
        <v>72</v>
      </c>
      <c r="E296" t="s">
        <v>68</v>
      </c>
      <c r="F296" t="s">
        <v>386</v>
      </c>
      <c r="G296">
        <v>8</v>
      </c>
      <c r="H296">
        <v>5.1174401700000001</v>
      </c>
      <c r="I296" t="s">
        <v>385</v>
      </c>
      <c r="J296">
        <v>6</v>
      </c>
      <c r="K296">
        <v>2.9199420100000002</v>
      </c>
      <c r="L296">
        <v>5</v>
      </c>
      <c r="M296" t="s">
        <v>119</v>
      </c>
      <c r="N296">
        <v>2</v>
      </c>
      <c r="O296">
        <v>8</v>
      </c>
      <c r="P296">
        <v>55</v>
      </c>
      <c r="Q296">
        <v>141</v>
      </c>
      <c r="R296" t="s">
        <v>1051</v>
      </c>
      <c r="S296" s="3" t="s">
        <v>90</v>
      </c>
      <c r="T296" s="3">
        <f t="shared" si="12"/>
        <v>1</v>
      </c>
      <c r="U296" t="s">
        <v>96</v>
      </c>
      <c r="V296" t="s">
        <v>142</v>
      </c>
      <c r="W296" t="s">
        <v>220</v>
      </c>
      <c r="X296">
        <v>0</v>
      </c>
      <c r="Y296" t="s">
        <v>41</v>
      </c>
      <c r="Z296" t="s">
        <v>219</v>
      </c>
      <c r="AA296" t="s">
        <v>43</v>
      </c>
      <c r="AB296" t="s">
        <v>118</v>
      </c>
      <c r="AC296">
        <v>2</v>
      </c>
      <c r="AD296">
        <v>0</v>
      </c>
      <c r="AE296">
        <v>0</v>
      </c>
      <c r="AF296">
        <v>0</v>
      </c>
      <c r="AG296">
        <v>1</v>
      </c>
      <c r="AH296">
        <v>1</v>
      </c>
      <c r="AI296">
        <v>0</v>
      </c>
      <c r="AJ296" t="s">
        <v>1050</v>
      </c>
      <c r="AK296" t="s">
        <v>213</v>
      </c>
      <c r="AL296" t="s">
        <v>214</v>
      </c>
      <c r="AM296" t="str">
        <f t="shared" si="13"/>
        <v>2020-2024</v>
      </c>
      <c r="AN296">
        <f t="shared" si="14"/>
        <v>4</v>
      </c>
    </row>
    <row r="297" spans="1:40" x14ac:dyDescent="0.2">
      <c r="A297">
        <v>296</v>
      </c>
      <c r="B297" t="s">
        <v>1052</v>
      </c>
      <c r="C297" t="s">
        <v>1717</v>
      </c>
      <c r="D297" t="s">
        <v>123</v>
      </c>
      <c r="E297" t="s">
        <v>68</v>
      </c>
      <c r="F297" t="s">
        <v>509</v>
      </c>
      <c r="G297">
        <v>200</v>
      </c>
      <c r="H297">
        <v>132.96078435999999</v>
      </c>
      <c r="I297" t="s">
        <v>507</v>
      </c>
      <c r="J297">
        <v>189</v>
      </c>
      <c r="K297">
        <v>92.192582830000006</v>
      </c>
      <c r="L297">
        <v>35</v>
      </c>
      <c r="M297" t="s">
        <v>49</v>
      </c>
      <c r="N297">
        <v>96</v>
      </c>
      <c r="O297">
        <v>204</v>
      </c>
      <c r="P297">
        <v>5167</v>
      </c>
      <c r="Q297">
        <v>141</v>
      </c>
      <c r="R297" t="s">
        <v>1051</v>
      </c>
      <c r="S297" s="3" t="s">
        <v>90</v>
      </c>
      <c r="T297" s="3">
        <f t="shared" si="12"/>
        <v>1</v>
      </c>
      <c r="U297" t="s">
        <v>96</v>
      </c>
      <c r="V297" t="s">
        <v>142</v>
      </c>
      <c r="W297" t="s">
        <v>220</v>
      </c>
      <c r="X297">
        <v>0</v>
      </c>
      <c r="Y297" t="s">
        <v>41</v>
      </c>
      <c r="Z297" t="s">
        <v>219</v>
      </c>
      <c r="AA297" t="s">
        <v>43</v>
      </c>
      <c r="AB297" t="s">
        <v>118</v>
      </c>
      <c r="AC297">
        <v>2</v>
      </c>
      <c r="AD297">
        <v>0</v>
      </c>
      <c r="AE297">
        <v>0</v>
      </c>
      <c r="AF297">
        <v>1</v>
      </c>
      <c r="AG297">
        <v>1</v>
      </c>
      <c r="AH297">
        <v>0</v>
      </c>
      <c r="AI297">
        <v>0</v>
      </c>
      <c r="AJ297" t="s">
        <v>1053</v>
      </c>
      <c r="AK297" t="s">
        <v>193</v>
      </c>
      <c r="AL297" t="s">
        <v>194</v>
      </c>
      <c r="AM297" t="str">
        <f t="shared" si="13"/>
        <v>2018-2021</v>
      </c>
      <c r="AN297">
        <f t="shared" si="14"/>
        <v>3</v>
      </c>
    </row>
    <row r="298" spans="1:40" x14ac:dyDescent="0.2">
      <c r="A298">
        <v>297</v>
      </c>
      <c r="B298" t="s">
        <v>1054</v>
      </c>
      <c r="C298" t="s">
        <v>1718</v>
      </c>
      <c r="D298" t="s">
        <v>60</v>
      </c>
      <c r="E298" t="s">
        <v>150</v>
      </c>
      <c r="F298" t="s">
        <v>151</v>
      </c>
      <c r="G298">
        <v>119</v>
      </c>
      <c r="H298">
        <v>45.390549554000032</v>
      </c>
      <c r="I298" t="s">
        <v>140</v>
      </c>
      <c r="J298">
        <v>114</v>
      </c>
      <c r="K298">
        <v>83.609030680000018</v>
      </c>
      <c r="L298">
        <v>32</v>
      </c>
      <c r="M298" t="s">
        <v>49</v>
      </c>
      <c r="N298">
        <v>77</v>
      </c>
      <c r="O298">
        <v>122</v>
      </c>
      <c r="P298">
        <v>2947</v>
      </c>
      <c r="Q298">
        <v>141</v>
      </c>
      <c r="R298" t="s">
        <v>1051</v>
      </c>
      <c r="S298" s="3" t="s">
        <v>90</v>
      </c>
      <c r="T298" s="3">
        <f t="shared" si="12"/>
        <v>1</v>
      </c>
      <c r="U298" t="s">
        <v>96</v>
      </c>
      <c r="V298" t="s">
        <v>142</v>
      </c>
      <c r="W298" t="s">
        <v>220</v>
      </c>
      <c r="X298">
        <v>0</v>
      </c>
      <c r="Y298" t="s">
        <v>41</v>
      </c>
      <c r="Z298" t="s">
        <v>219</v>
      </c>
      <c r="AA298" t="s">
        <v>43</v>
      </c>
      <c r="AB298" t="s">
        <v>118</v>
      </c>
      <c r="AC298">
        <v>1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 t="s">
        <v>1055</v>
      </c>
      <c r="AK298" t="s">
        <v>320</v>
      </c>
      <c r="AL298" t="s">
        <v>321</v>
      </c>
      <c r="AM298" t="str">
        <f t="shared" si="13"/>
        <v>2016-2018</v>
      </c>
      <c r="AN298">
        <f t="shared" si="14"/>
        <v>2</v>
      </c>
    </row>
    <row r="299" spans="1:40" x14ac:dyDescent="0.2">
      <c r="A299">
        <v>298</v>
      </c>
      <c r="B299" t="s">
        <v>1056</v>
      </c>
      <c r="C299" t="s">
        <v>1717</v>
      </c>
      <c r="D299" t="s">
        <v>72</v>
      </c>
      <c r="E299" t="s">
        <v>173</v>
      </c>
      <c r="F299" t="s">
        <v>351</v>
      </c>
      <c r="G299">
        <v>4</v>
      </c>
      <c r="H299">
        <v>2.4891026799999998</v>
      </c>
      <c r="I299" t="s">
        <v>349</v>
      </c>
      <c r="J299">
        <v>3</v>
      </c>
      <c r="K299">
        <v>1.6120795000000001</v>
      </c>
      <c r="L299">
        <v>4</v>
      </c>
      <c r="M299" t="s">
        <v>97</v>
      </c>
      <c r="N299">
        <v>3</v>
      </c>
      <c r="O299">
        <v>11</v>
      </c>
      <c r="P299">
        <v>76</v>
      </c>
      <c r="Q299">
        <v>141</v>
      </c>
      <c r="R299" t="s">
        <v>1051</v>
      </c>
      <c r="S299" s="3" t="s">
        <v>90</v>
      </c>
      <c r="T299" s="3">
        <f t="shared" si="12"/>
        <v>1</v>
      </c>
      <c r="U299" t="s">
        <v>96</v>
      </c>
      <c r="V299" t="s">
        <v>142</v>
      </c>
      <c r="W299" t="s">
        <v>220</v>
      </c>
      <c r="X299">
        <v>0</v>
      </c>
      <c r="Y299" t="s">
        <v>41</v>
      </c>
      <c r="Z299" t="s">
        <v>219</v>
      </c>
      <c r="AA299" t="s">
        <v>43</v>
      </c>
      <c r="AB299" t="s">
        <v>118</v>
      </c>
      <c r="AC299">
        <v>1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 t="s">
        <v>1057</v>
      </c>
      <c r="AK299" t="s">
        <v>93</v>
      </c>
      <c r="AL299" t="s">
        <v>94</v>
      </c>
      <c r="AM299" t="str">
        <f t="shared" si="13"/>
        <v>2020-2021</v>
      </c>
      <c r="AN299">
        <f t="shared" si="14"/>
        <v>1</v>
      </c>
    </row>
    <row r="300" spans="1:40" x14ac:dyDescent="0.2">
      <c r="A300">
        <v>299</v>
      </c>
      <c r="B300" t="s">
        <v>1058</v>
      </c>
      <c r="C300" t="s">
        <v>1717</v>
      </c>
      <c r="D300" t="s">
        <v>72</v>
      </c>
      <c r="E300" t="s">
        <v>68</v>
      </c>
      <c r="F300" t="s">
        <v>329</v>
      </c>
      <c r="G300">
        <v>331</v>
      </c>
      <c r="H300">
        <v>185.68037751000011</v>
      </c>
      <c r="I300" t="s">
        <v>326</v>
      </c>
      <c r="J300">
        <v>155</v>
      </c>
      <c r="K300">
        <v>45.745910136000013</v>
      </c>
      <c r="L300">
        <v>53</v>
      </c>
      <c r="M300" t="s">
        <v>49</v>
      </c>
      <c r="N300">
        <v>160</v>
      </c>
      <c r="O300">
        <v>415</v>
      </c>
      <c r="P300">
        <v>10507</v>
      </c>
      <c r="Q300">
        <v>141</v>
      </c>
      <c r="R300" t="s">
        <v>1051</v>
      </c>
      <c r="S300" s="3" t="s">
        <v>90</v>
      </c>
      <c r="T300" s="3">
        <f t="shared" si="12"/>
        <v>1</v>
      </c>
      <c r="U300" t="s">
        <v>96</v>
      </c>
      <c r="V300" t="s">
        <v>142</v>
      </c>
      <c r="W300" t="s">
        <v>220</v>
      </c>
      <c r="X300">
        <v>0</v>
      </c>
      <c r="Y300" t="s">
        <v>41</v>
      </c>
      <c r="Z300" t="s">
        <v>219</v>
      </c>
      <c r="AA300" t="s">
        <v>43</v>
      </c>
      <c r="AB300" t="s">
        <v>118</v>
      </c>
      <c r="AC300">
        <v>2</v>
      </c>
      <c r="AD300">
        <v>1</v>
      </c>
      <c r="AE300">
        <v>1</v>
      </c>
      <c r="AF300">
        <v>0</v>
      </c>
      <c r="AG300">
        <v>0</v>
      </c>
      <c r="AH300">
        <v>0</v>
      </c>
      <c r="AI300">
        <v>0</v>
      </c>
      <c r="AJ300" t="s">
        <v>1059</v>
      </c>
      <c r="AK300" t="s">
        <v>82</v>
      </c>
      <c r="AL300" t="s">
        <v>83</v>
      </c>
      <c r="AM300" t="str">
        <f t="shared" si="13"/>
        <v>2014-2016</v>
      </c>
      <c r="AN300">
        <f t="shared" si="14"/>
        <v>2</v>
      </c>
    </row>
    <row r="301" spans="1:40" x14ac:dyDescent="0.2">
      <c r="A301">
        <v>300</v>
      </c>
      <c r="B301" t="s">
        <v>1060</v>
      </c>
      <c r="C301" t="s">
        <v>1717</v>
      </c>
      <c r="D301" t="s">
        <v>72</v>
      </c>
      <c r="E301" t="s">
        <v>68</v>
      </c>
      <c r="F301" t="s">
        <v>408</v>
      </c>
      <c r="G301">
        <v>202</v>
      </c>
      <c r="H301">
        <v>81.722315574000064</v>
      </c>
      <c r="I301" t="s">
        <v>407</v>
      </c>
      <c r="J301">
        <v>149</v>
      </c>
      <c r="K301">
        <v>75.083365610000044</v>
      </c>
      <c r="L301">
        <v>15</v>
      </c>
      <c r="M301" t="s">
        <v>67</v>
      </c>
      <c r="N301">
        <v>29</v>
      </c>
      <c r="O301">
        <v>220</v>
      </c>
      <c r="P301">
        <v>963</v>
      </c>
      <c r="Q301">
        <v>141</v>
      </c>
      <c r="R301" t="s">
        <v>1051</v>
      </c>
      <c r="S301" s="3" t="s">
        <v>90</v>
      </c>
      <c r="T301" s="3">
        <f t="shared" si="12"/>
        <v>1</v>
      </c>
      <c r="U301" t="s">
        <v>96</v>
      </c>
      <c r="V301" t="s">
        <v>142</v>
      </c>
      <c r="W301" t="s">
        <v>220</v>
      </c>
      <c r="X301">
        <v>0</v>
      </c>
      <c r="Y301" t="s">
        <v>41</v>
      </c>
      <c r="Z301" t="s">
        <v>219</v>
      </c>
      <c r="AA301" t="s">
        <v>43</v>
      </c>
      <c r="AB301" t="s">
        <v>118</v>
      </c>
      <c r="AC301">
        <v>2</v>
      </c>
      <c r="AD301">
        <v>1</v>
      </c>
      <c r="AE301">
        <v>1</v>
      </c>
      <c r="AF301">
        <v>0</v>
      </c>
      <c r="AG301">
        <v>0</v>
      </c>
      <c r="AH301">
        <v>0</v>
      </c>
      <c r="AI301">
        <v>0</v>
      </c>
      <c r="AJ301" t="s">
        <v>1061</v>
      </c>
      <c r="AK301" t="s">
        <v>82</v>
      </c>
      <c r="AL301" t="s">
        <v>83</v>
      </c>
      <c r="AM301" t="str">
        <f t="shared" si="13"/>
        <v>2014-2016</v>
      </c>
      <c r="AN301">
        <f t="shared" si="14"/>
        <v>2</v>
      </c>
    </row>
    <row r="302" spans="1:40" x14ac:dyDescent="0.2">
      <c r="A302">
        <v>301</v>
      </c>
      <c r="B302" t="s">
        <v>1062</v>
      </c>
      <c r="C302" t="s">
        <v>1717</v>
      </c>
      <c r="D302" t="s">
        <v>72</v>
      </c>
      <c r="E302" t="s">
        <v>68</v>
      </c>
      <c r="F302" t="s">
        <v>298</v>
      </c>
      <c r="G302">
        <v>91</v>
      </c>
      <c r="H302">
        <v>43.985469789999989</v>
      </c>
      <c r="I302" t="s">
        <v>295</v>
      </c>
      <c r="J302">
        <v>61</v>
      </c>
      <c r="K302">
        <v>26.80717581</v>
      </c>
      <c r="L302">
        <v>13</v>
      </c>
      <c r="M302" t="s">
        <v>67</v>
      </c>
      <c r="N302">
        <v>18</v>
      </c>
      <c r="O302">
        <v>96</v>
      </c>
      <c r="P302">
        <v>468</v>
      </c>
      <c r="Q302">
        <v>141</v>
      </c>
      <c r="R302" t="s">
        <v>1051</v>
      </c>
      <c r="S302" s="3" t="s">
        <v>90</v>
      </c>
      <c r="T302" s="3">
        <f t="shared" si="12"/>
        <v>1</v>
      </c>
      <c r="U302" t="s">
        <v>96</v>
      </c>
      <c r="V302" t="s">
        <v>142</v>
      </c>
      <c r="W302" t="s">
        <v>220</v>
      </c>
      <c r="X302">
        <v>0</v>
      </c>
      <c r="Y302" t="s">
        <v>41</v>
      </c>
      <c r="Z302" t="s">
        <v>219</v>
      </c>
      <c r="AA302" t="s">
        <v>43</v>
      </c>
      <c r="AB302" t="s">
        <v>118</v>
      </c>
      <c r="AC302">
        <v>2</v>
      </c>
      <c r="AD302">
        <v>0</v>
      </c>
      <c r="AE302">
        <v>1</v>
      </c>
      <c r="AF302">
        <v>1</v>
      </c>
      <c r="AG302">
        <v>0</v>
      </c>
      <c r="AH302">
        <v>0</v>
      </c>
      <c r="AI302">
        <v>0</v>
      </c>
      <c r="AJ302" t="s">
        <v>1063</v>
      </c>
      <c r="AK302" t="s">
        <v>156</v>
      </c>
      <c r="AL302" t="s">
        <v>157</v>
      </c>
      <c r="AM302" t="str">
        <f t="shared" si="13"/>
        <v>2016-2020</v>
      </c>
      <c r="AN302">
        <f t="shared" si="14"/>
        <v>4</v>
      </c>
    </row>
    <row r="303" spans="1:40" x14ac:dyDescent="0.2">
      <c r="A303">
        <v>302</v>
      </c>
      <c r="B303" t="s">
        <v>1064</v>
      </c>
      <c r="C303" t="s">
        <v>1717</v>
      </c>
      <c r="D303" t="s">
        <v>114</v>
      </c>
      <c r="E303" t="s">
        <v>68</v>
      </c>
      <c r="F303" t="s">
        <v>373</v>
      </c>
      <c r="G303">
        <v>129</v>
      </c>
      <c r="H303">
        <v>55.861169939000007</v>
      </c>
      <c r="I303" t="s">
        <v>372</v>
      </c>
      <c r="J303">
        <v>64</v>
      </c>
      <c r="K303">
        <v>28.570028610000001</v>
      </c>
      <c r="L303">
        <v>30</v>
      </c>
      <c r="M303" t="s">
        <v>49</v>
      </c>
      <c r="N303">
        <v>93</v>
      </c>
      <c r="O303">
        <v>241</v>
      </c>
      <c r="P303">
        <v>3055</v>
      </c>
      <c r="Q303">
        <v>142</v>
      </c>
      <c r="R303" t="s">
        <v>1066</v>
      </c>
      <c r="S303" s="3" t="s">
        <v>90</v>
      </c>
      <c r="T303" s="3">
        <f t="shared" si="12"/>
        <v>1</v>
      </c>
      <c r="U303" t="s">
        <v>96</v>
      </c>
      <c r="V303" t="s">
        <v>142</v>
      </c>
      <c r="W303" t="s">
        <v>220</v>
      </c>
      <c r="X303">
        <v>0</v>
      </c>
      <c r="Y303" t="s">
        <v>41</v>
      </c>
      <c r="Z303" t="s">
        <v>219</v>
      </c>
      <c r="AA303" t="s">
        <v>224</v>
      </c>
      <c r="AB303" t="s">
        <v>225</v>
      </c>
      <c r="AC303">
        <v>2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1</v>
      </c>
      <c r="AJ303" t="s">
        <v>1065</v>
      </c>
      <c r="AK303" t="s">
        <v>55</v>
      </c>
      <c r="AL303" t="s">
        <v>56</v>
      </c>
      <c r="AM303" t="str">
        <f t="shared" si="13"/>
        <v>2022-2027</v>
      </c>
      <c r="AN303">
        <f t="shared" si="14"/>
        <v>5</v>
      </c>
    </row>
    <row r="304" spans="1:40" x14ac:dyDescent="0.2">
      <c r="A304">
        <v>303</v>
      </c>
      <c r="B304" t="s">
        <v>1067</v>
      </c>
      <c r="C304" t="s">
        <v>1718</v>
      </c>
      <c r="D304" t="s">
        <v>72</v>
      </c>
      <c r="E304" t="s">
        <v>68</v>
      </c>
      <c r="F304" t="s">
        <v>386</v>
      </c>
      <c r="G304">
        <v>53</v>
      </c>
      <c r="H304">
        <v>28.478677820000001</v>
      </c>
      <c r="I304" t="s">
        <v>385</v>
      </c>
      <c r="J304">
        <v>44</v>
      </c>
      <c r="K304">
        <v>24.567891020000001</v>
      </c>
      <c r="L304">
        <v>11</v>
      </c>
      <c r="M304" t="s">
        <v>67</v>
      </c>
      <c r="N304">
        <v>13</v>
      </c>
      <c r="O304">
        <v>57</v>
      </c>
      <c r="P304">
        <v>488</v>
      </c>
      <c r="Q304">
        <v>142</v>
      </c>
      <c r="R304" t="s">
        <v>1066</v>
      </c>
      <c r="S304" s="3" t="s">
        <v>90</v>
      </c>
      <c r="T304" s="3">
        <f t="shared" si="12"/>
        <v>1</v>
      </c>
      <c r="U304" t="s">
        <v>96</v>
      </c>
      <c r="V304" t="s">
        <v>142</v>
      </c>
      <c r="W304" t="s">
        <v>220</v>
      </c>
      <c r="X304">
        <v>0</v>
      </c>
      <c r="Y304" t="s">
        <v>41</v>
      </c>
      <c r="Z304" t="s">
        <v>219</v>
      </c>
      <c r="AA304" t="s">
        <v>224</v>
      </c>
      <c r="AB304" t="s">
        <v>225</v>
      </c>
      <c r="AC304">
        <v>3</v>
      </c>
      <c r="AD304">
        <v>1</v>
      </c>
      <c r="AE304">
        <v>1</v>
      </c>
      <c r="AF304">
        <v>1</v>
      </c>
      <c r="AG304">
        <v>0</v>
      </c>
      <c r="AH304">
        <v>0</v>
      </c>
      <c r="AI304">
        <v>0</v>
      </c>
      <c r="AJ304" t="s">
        <v>1068</v>
      </c>
      <c r="AK304" t="s">
        <v>109</v>
      </c>
      <c r="AL304" t="s">
        <v>110</v>
      </c>
      <c r="AM304" t="str">
        <f t="shared" si="13"/>
        <v>2014-2020</v>
      </c>
      <c r="AN304">
        <f t="shared" si="14"/>
        <v>6</v>
      </c>
    </row>
    <row r="305" spans="1:40" x14ac:dyDescent="0.2">
      <c r="A305">
        <v>304</v>
      </c>
      <c r="B305" t="s">
        <v>1069</v>
      </c>
      <c r="C305" t="s">
        <v>1717</v>
      </c>
      <c r="D305" t="s">
        <v>72</v>
      </c>
      <c r="E305" t="s">
        <v>68</v>
      </c>
      <c r="F305" t="s">
        <v>282</v>
      </c>
      <c r="G305">
        <v>55</v>
      </c>
      <c r="H305">
        <v>34.950196590000012</v>
      </c>
      <c r="I305" t="s">
        <v>281</v>
      </c>
      <c r="J305">
        <v>32</v>
      </c>
      <c r="K305">
        <v>8.2255897210000004</v>
      </c>
      <c r="L305">
        <v>11</v>
      </c>
      <c r="M305" t="s">
        <v>67</v>
      </c>
      <c r="N305">
        <v>13</v>
      </c>
      <c r="O305">
        <v>56</v>
      </c>
      <c r="P305">
        <v>309</v>
      </c>
      <c r="Q305">
        <v>142</v>
      </c>
      <c r="R305" t="s">
        <v>1066</v>
      </c>
      <c r="S305" s="3" t="s">
        <v>90</v>
      </c>
      <c r="T305" s="3">
        <f t="shared" si="12"/>
        <v>1</v>
      </c>
      <c r="U305" t="s">
        <v>96</v>
      </c>
      <c r="V305" t="s">
        <v>142</v>
      </c>
      <c r="W305" t="s">
        <v>220</v>
      </c>
      <c r="X305">
        <v>0</v>
      </c>
      <c r="Y305" t="s">
        <v>41</v>
      </c>
      <c r="Z305" t="s">
        <v>219</v>
      </c>
      <c r="AA305" t="s">
        <v>224</v>
      </c>
      <c r="AB305" t="s">
        <v>225</v>
      </c>
      <c r="AC305">
        <v>1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0</v>
      </c>
      <c r="AJ305" t="s">
        <v>1070</v>
      </c>
      <c r="AK305" t="s">
        <v>93</v>
      </c>
      <c r="AL305" t="s">
        <v>94</v>
      </c>
      <c r="AM305" t="str">
        <f t="shared" si="13"/>
        <v>2020-2021</v>
      </c>
      <c r="AN305">
        <f t="shared" si="14"/>
        <v>1</v>
      </c>
    </row>
    <row r="306" spans="1:40" x14ac:dyDescent="0.2">
      <c r="A306">
        <v>305</v>
      </c>
      <c r="B306" t="s">
        <v>1071</v>
      </c>
      <c r="C306" t="s">
        <v>1718</v>
      </c>
      <c r="D306" t="s">
        <v>186</v>
      </c>
      <c r="E306" t="s">
        <v>98</v>
      </c>
      <c r="F306" t="s">
        <v>99</v>
      </c>
      <c r="G306">
        <v>10</v>
      </c>
      <c r="H306">
        <v>2.9773951250000001</v>
      </c>
      <c r="I306" t="s">
        <v>88</v>
      </c>
      <c r="J306">
        <v>7</v>
      </c>
      <c r="K306">
        <v>3.4091890600000001</v>
      </c>
      <c r="L306">
        <v>1</v>
      </c>
      <c r="M306" t="s">
        <v>137</v>
      </c>
      <c r="N306">
        <v>0</v>
      </c>
      <c r="O306">
        <v>15</v>
      </c>
      <c r="P306">
        <v>2</v>
      </c>
      <c r="Q306">
        <v>143</v>
      </c>
      <c r="R306" t="s">
        <v>1074</v>
      </c>
      <c r="S306" s="3" t="s">
        <v>90</v>
      </c>
      <c r="T306" s="3">
        <f t="shared" si="12"/>
        <v>1</v>
      </c>
      <c r="U306" t="s">
        <v>96</v>
      </c>
      <c r="V306" t="s">
        <v>142</v>
      </c>
      <c r="W306" t="s">
        <v>220</v>
      </c>
      <c r="X306">
        <v>0</v>
      </c>
      <c r="Y306" t="s">
        <v>41</v>
      </c>
      <c r="Z306" t="s">
        <v>219</v>
      </c>
      <c r="AA306" t="s">
        <v>360</v>
      </c>
      <c r="AB306" t="s">
        <v>1073</v>
      </c>
      <c r="AC306">
        <v>1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 t="s">
        <v>1072</v>
      </c>
      <c r="AK306" t="s">
        <v>93</v>
      </c>
      <c r="AL306" t="s">
        <v>94</v>
      </c>
      <c r="AM306" t="str">
        <f t="shared" si="13"/>
        <v>2020-2021</v>
      </c>
      <c r="AN306">
        <f t="shared" si="14"/>
        <v>1</v>
      </c>
    </row>
    <row r="307" spans="1:40" x14ac:dyDescent="0.2">
      <c r="A307">
        <v>306</v>
      </c>
      <c r="B307" t="s">
        <v>1075</v>
      </c>
      <c r="C307" t="s">
        <v>1717</v>
      </c>
      <c r="D307" t="s">
        <v>231</v>
      </c>
      <c r="E307" t="s">
        <v>98</v>
      </c>
      <c r="F307" t="s">
        <v>99</v>
      </c>
      <c r="G307">
        <v>2</v>
      </c>
      <c r="H307">
        <v>0.77193394000000004</v>
      </c>
      <c r="I307" t="s">
        <v>88</v>
      </c>
      <c r="J307">
        <v>2</v>
      </c>
      <c r="K307">
        <v>1.2401367400000001</v>
      </c>
      <c r="L307">
        <v>1</v>
      </c>
      <c r="M307" t="s">
        <v>137</v>
      </c>
      <c r="N307">
        <v>0</v>
      </c>
      <c r="O307">
        <v>3</v>
      </c>
      <c r="P307">
        <v>1</v>
      </c>
      <c r="Q307">
        <v>143</v>
      </c>
      <c r="R307" t="s">
        <v>1074</v>
      </c>
      <c r="S307" s="3" t="s">
        <v>90</v>
      </c>
      <c r="T307" s="3">
        <f t="shared" si="12"/>
        <v>1</v>
      </c>
      <c r="U307" t="s">
        <v>96</v>
      </c>
      <c r="V307" t="s">
        <v>142</v>
      </c>
      <c r="W307" t="s">
        <v>220</v>
      </c>
      <c r="X307">
        <v>0</v>
      </c>
      <c r="Y307" t="s">
        <v>41</v>
      </c>
      <c r="Z307" t="s">
        <v>219</v>
      </c>
      <c r="AA307" t="s">
        <v>360</v>
      </c>
      <c r="AB307" t="s">
        <v>1073</v>
      </c>
      <c r="AC307">
        <v>1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 t="s">
        <v>1076</v>
      </c>
      <c r="AK307" t="s">
        <v>202</v>
      </c>
      <c r="AL307" t="s">
        <v>203</v>
      </c>
      <c r="AM307" t="str">
        <f t="shared" si="13"/>
        <v>2018-2020</v>
      </c>
      <c r="AN307">
        <f t="shared" si="14"/>
        <v>2</v>
      </c>
    </row>
    <row r="308" spans="1:40" x14ac:dyDescent="0.2">
      <c r="A308">
        <v>307</v>
      </c>
      <c r="B308" t="s">
        <v>1077</v>
      </c>
      <c r="C308" t="s">
        <v>1717</v>
      </c>
      <c r="D308" t="s">
        <v>248</v>
      </c>
      <c r="E308" t="s">
        <v>68</v>
      </c>
      <c r="F308" t="s">
        <v>362</v>
      </c>
      <c r="G308">
        <v>149</v>
      </c>
      <c r="H308">
        <v>74.597153130000024</v>
      </c>
      <c r="I308" t="s">
        <v>357</v>
      </c>
      <c r="J308">
        <v>108</v>
      </c>
      <c r="K308">
        <v>38.52040659</v>
      </c>
      <c r="L308">
        <v>24</v>
      </c>
      <c r="M308" t="s">
        <v>49</v>
      </c>
      <c r="N308">
        <v>54</v>
      </c>
      <c r="O308">
        <v>193</v>
      </c>
      <c r="P308">
        <v>1708</v>
      </c>
      <c r="Q308">
        <v>144</v>
      </c>
      <c r="R308" t="s">
        <v>1079</v>
      </c>
      <c r="S308" s="3" t="s">
        <v>90</v>
      </c>
      <c r="T308" s="3">
        <f t="shared" si="12"/>
        <v>1</v>
      </c>
      <c r="U308" t="s">
        <v>96</v>
      </c>
      <c r="V308" t="s">
        <v>142</v>
      </c>
      <c r="W308" t="s">
        <v>220</v>
      </c>
      <c r="X308">
        <v>0</v>
      </c>
      <c r="Y308" t="s">
        <v>41</v>
      </c>
      <c r="Z308" t="s">
        <v>219</v>
      </c>
      <c r="AA308" t="s">
        <v>63</v>
      </c>
      <c r="AB308" t="s">
        <v>64</v>
      </c>
      <c r="AC308">
        <v>2</v>
      </c>
      <c r="AD308">
        <v>0</v>
      </c>
      <c r="AE308">
        <v>0</v>
      </c>
      <c r="AF308">
        <v>0</v>
      </c>
      <c r="AG308">
        <v>1</v>
      </c>
      <c r="AH308">
        <v>1</v>
      </c>
      <c r="AI308">
        <v>0</v>
      </c>
      <c r="AJ308" t="s">
        <v>1078</v>
      </c>
      <c r="AK308" t="s">
        <v>213</v>
      </c>
      <c r="AL308" t="s">
        <v>214</v>
      </c>
      <c r="AM308" t="str">
        <f t="shared" si="13"/>
        <v>2020-2024</v>
      </c>
      <c r="AN308">
        <f t="shared" si="14"/>
        <v>4</v>
      </c>
    </row>
    <row r="309" spans="1:40" x14ac:dyDescent="0.2">
      <c r="A309">
        <v>308</v>
      </c>
      <c r="B309" t="s">
        <v>1080</v>
      </c>
      <c r="C309" t="s">
        <v>1717</v>
      </c>
      <c r="D309" t="s">
        <v>72</v>
      </c>
      <c r="E309" t="s">
        <v>150</v>
      </c>
      <c r="F309" t="s">
        <v>1083</v>
      </c>
      <c r="G309">
        <v>130</v>
      </c>
      <c r="H309">
        <v>75.99502282600001</v>
      </c>
      <c r="I309" t="s">
        <v>1082</v>
      </c>
      <c r="J309">
        <v>71</v>
      </c>
      <c r="K309">
        <v>35.769831569999987</v>
      </c>
      <c r="L309">
        <v>23</v>
      </c>
      <c r="M309" t="s">
        <v>49</v>
      </c>
      <c r="N309">
        <v>47</v>
      </c>
      <c r="O309">
        <v>140</v>
      </c>
      <c r="P309">
        <v>1421</v>
      </c>
      <c r="Q309">
        <v>144</v>
      </c>
      <c r="R309" t="s">
        <v>1079</v>
      </c>
      <c r="S309" s="3" t="s">
        <v>90</v>
      </c>
      <c r="T309" s="3">
        <f t="shared" si="12"/>
        <v>1</v>
      </c>
      <c r="U309" t="s">
        <v>96</v>
      </c>
      <c r="V309" t="s">
        <v>142</v>
      </c>
      <c r="W309" t="s">
        <v>220</v>
      </c>
      <c r="X309">
        <v>0</v>
      </c>
      <c r="Y309" t="s">
        <v>41</v>
      </c>
      <c r="Z309" t="s">
        <v>219</v>
      </c>
      <c r="AA309" t="s">
        <v>63</v>
      </c>
      <c r="AB309" t="s">
        <v>64</v>
      </c>
      <c r="AC309">
        <v>2</v>
      </c>
      <c r="AD309">
        <v>0</v>
      </c>
      <c r="AE309">
        <v>1</v>
      </c>
      <c r="AF309">
        <v>1</v>
      </c>
      <c r="AG309">
        <v>0</v>
      </c>
      <c r="AH309">
        <v>0</v>
      </c>
      <c r="AI309">
        <v>0</v>
      </c>
      <c r="AJ309" t="s">
        <v>1081</v>
      </c>
      <c r="AK309" t="s">
        <v>156</v>
      </c>
      <c r="AL309" t="s">
        <v>157</v>
      </c>
      <c r="AM309" t="str">
        <f t="shared" si="13"/>
        <v>2016-2020</v>
      </c>
      <c r="AN309">
        <f t="shared" si="14"/>
        <v>4</v>
      </c>
    </row>
    <row r="310" spans="1:40" x14ac:dyDescent="0.2">
      <c r="A310">
        <v>309</v>
      </c>
      <c r="B310" t="s">
        <v>1084</v>
      </c>
      <c r="C310" t="s">
        <v>1718</v>
      </c>
      <c r="D310" t="s">
        <v>72</v>
      </c>
      <c r="E310" t="s">
        <v>68</v>
      </c>
      <c r="F310" t="s">
        <v>362</v>
      </c>
      <c r="G310">
        <v>93</v>
      </c>
      <c r="H310">
        <v>61.693038379999969</v>
      </c>
      <c r="I310" t="s">
        <v>357</v>
      </c>
      <c r="J310">
        <v>61</v>
      </c>
      <c r="K310">
        <v>23.761866471000001</v>
      </c>
      <c r="L310">
        <v>18</v>
      </c>
      <c r="M310" t="s">
        <v>67</v>
      </c>
      <c r="N310">
        <v>31</v>
      </c>
      <c r="O310">
        <v>95</v>
      </c>
      <c r="P310">
        <v>1130</v>
      </c>
      <c r="Q310">
        <v>144</v>
      </c>
      <c r="R310" t="s">
        <v>1079</v>
      </c>
      <c r="S310" s="3" t="s">
        <v>90</v>
      </c>
      <c r="T310" s="3">
        <f t="shared" si="12"/>
        <v>1</v>
      </c>
      <c r="U310" t="s">
        <v>96</v>
      </c>
      <c r="V310" t="s">
        <v>142</v>
      </c>
      <c r="W310" t="s">
        <v>220</v>
      </c>
      <c r="X310">
        <v>0</v>
      </c>
      <c r="Y310" t="s">
        <v>41</v>
      </c>
      <c r="Z310" t="s">
        <v>219</v>
      </c>
      <c r="AA310" t="s">
        <v>63</v>
      </c>
      <c r="AB310" t="s">
        <v>64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 t="s">
        <v>1085</v>
      </c>
      <c r="AK310" t="s">
        <v>65</v>
      </c>
      <c r="AL310" t="s">
        <v>66</v>
      </c>
      <c r="AM310" t="str">
        <f t="shared" si="13"/>
        <v>2024-2027</v>
      </c>
      <c r="AN310">
        <f t="shared" si="14"/>
        <v>3</v>
      </c>
    </row>
    <row r="311" spans="1:40" x14ac:dyDescent="0.2">
      <c r="A311">
        <v>310</v>
      </c>
      <c r="B311" t="s">
        <v>1086</v>
      </c>
      <c r="C311" t="s">
        <v>1717</v>
      </c>
      <c r="D311" t="s">
        <v>72</v>
      </c>
      <c r="E311" t="s">
        <v>68</v>
      </c>
      <c r="F311" t="s">
        <v>386</v>
      </c>
      <c r="G311">
        <v>168</v>
      </c>
      <c r="H311">
        <v>91.033679279999987</v>
      </c>
      <c r="I311" t="s">
        <v>385</v>
      </c>
      <c r="J311">
        <v>109</v>
      </c>
      <c r="K311">
        <v>54.583927080000016</v>
      </c>
      <c r="L311">
        <v>21</v>
      </c>
      <c r="M311" t="s">
        <v>49</v>
      </c>
      <c r="N311">
        <v>41</v>
      </c>
      <c r="O311">
        <v>173</v>
      </c>
      <c r="P311">
        <v>1413</v>
      </c>
      <c r="Q311">
        <v>145</v>
      </c>
      <c r="R311" t="s">
        <v>1088</v>
      </c>
      <c r="S311" s="3" t="s">
        <v>90</v>
      </c>
      <c r="T311" s="3">
        <f t="shared" si="12"/>
        <v>1</v>
      </c>
      <c r="U311" t="s">
        <v>96</v>
      </c>
      <c r="V311" t="s">
        <v>142</v>
      </c>
      <c r="W311" t="s">
        <v>220</v>
      </c>
      <c r="X311">
        <v>0</v>
      </c>
      <c r="Y311" t="s">
        <v>41</v>
      </c>
      <c r="Z311" t="s">
        <v>219</v>
      </c>
      <c r="AA311" t="s">
        <v>224</v>
      </c>
      <c r="AB311" t="s">
        <v>225</v>
      </c>
      <c r="AC311">
        <v>5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0</v>
      </c>
      <c r="AJ311" t="s">
        <v>1087</v>
      </c>
      <c r="AK311" t="s">
        <v>255</v>
      </c>
      <c r="AL311" t="s">
        <v>256</v>
      </c>
      <c r="AM311" t="str">
        <f t="shared" si="13"/>
        <v>2014-2024</v>
      </c>
      <c r="AN311">
        <f t="shared" si="14"/>
        <v>10</v>
      </c>
    </row>
    <row r="312" spans="1:40" x14ac:dyDescent="0.2">
      <c r="A312">
        <v>311</v>
      </c>
      <c r="B312" t="s">
        <v>1089</v>
      </c>
      <c r="C312" t="s">
        <v>1718</v>
      </c>
      <c r="D312" t="s">
        <v>123</v>
      </c>
      <c r="E312" t="s">
        <v>68</v>
      </c>
      <c r="F312" t="s">
        <v>1092</v>
      </c>
      <c r="G312">
        <v>33</v>
      </c>
      <c r="H312">
        <v>19.667459149999999</v>
      </c>
      <c r="I312" t="s">
        <v>1091</v>
      </c>
      <c r="J312">
        <v>22</v>
      </c>
      <c r="K312">
        <v>13.22020391</v>
      </c>
      <c r="L312">
        <v>11</v>
      </c>
      <c r="M312" t="s">
        <v>67</v>
      </c>
      <c r="N312">
        <v>13</v>
      </c>
      <c r="O312">
        <v>38</v>
      </c>
      <c r="P312">
        <v>388</v>
      </c>
      <c r="Q312">
        <v>145</v>
      </c>
      <c r="R312" t="s">
        <v>1088</v>
      </c>
      <c r="S312" s="3" t="s">
        <v>90</v>
      </c>
      <c r="T312" s="3">
        <f t="shared" si="12"/>
        <v>1</v>
      </c>
      <c r="U312" t="s">
        <v>96</v>
      </c>
      <c r="V312" t="s">
        <v>142</v>
      </c>
      <c r="W312" t="s">
        <v>220</v>
      </c>
      <c r="X312">
        <v>0</v>
      </c>
      <c r="Y312" t="s">
        <v>41</v>
      </c>
      <c r="Z312" t="s">
        <v>219</v>
      </c>
      <c r="AA312" t="s">
        <v>224</v>
      </c>
      <c r="AB312" t="s">
        <v>225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 t="s">
        <v>1090</v>
      </c>
      <c r="AK312" t="s">
        <v>65</v>
      </c>
      <c r="AL312" t="s">
        <v>66</v>
      </c>
      <c r="AM312" t="str">
        <f t="shared" si="13"/>
        <v>2024-2027</v>
      </c>
      <c r="AN312">
        <f t="shared" si="14"/>
        <v>3</v>
      </c>
    </row>
    <row r="313" spans="1:40" x14ac:dyDescent="0.2">
      <c r="A313">
        <v>312</v>
      </c>
      <c r="B313" t="s">
        <v>1093</v>
      </c>
      <c r="C313" t="s">
        <v>1718</v>
      </c>
      <c r="D313" t="s">
        <v>72</v>
      </c>
      <c r="E313" t="s">
        <v>68</v>
      </c>
      <c r="F313" t="s">
        <v>447</v>
      </c>
      <c r="G313">
        <v>9</v>
      </c>
      <c r="H313">
        <v>4.20004183</v>
      </c>
      <c r="I313" t="s">
        <v>446</v>
      </c>
      <c r="J313">
        <v>5</v>
      </c>
      <c r="K313">
        <v>1.9348611</v>
      </c>
      <c r="L313">
        <v>6</v>
      </c>
      <c r="M313" t="s">
        <v>119</v>
      </c>
      <c r="N313">
        <v>6</v>
      </c>
      <c r="O313">
        <v>13</v>
      </c>
      <c r="P313">
        <v>343</v>
      </c>
      <c r="Q313">
        <v>146</v>
      </c>
      <c r="R313" t="s">
        <v>1095</v>
      </c>
      <c r="S313" s="3" t="s">
        <v>90</v>
      </c>
      <c r="T313" s="3">
        <f t="shared" si="12"/>
        <v>1</v>
      </c>
      <c r="U313" t="s">
        <v>96</v>
      </c>
      <c r="V313" t="s">
        <v>142</v>
      </c>
      <c r="W313" t="s">
        <v>220</v>
      </c>
      <c r="X313">
        <v>0</v>
      </c>
      <c r="Y313" t="s">
        <v>41</v>
      </c>
      <c r="Z313" t="s">
        <v>219</v>
      </c>
      <c r="AA313" t="s">
        <v>224</v>
      </c>
      <c r="AB313" t="s">
        <v>225</v>
      </c>
      <c r="AC313">
        <v>2</v>
      </c>
      <c r="AD313">
        <v>0</v>
      </c>
      <c r="AE313">
        <v>0</v>
      </c>
      <c r="AF313">
        <v>0</v>
      </c>
      <c r="AG313">
        <v>1</v>
      </c>
      <c r="AH313">
        <v>1</v>
      </c>
      <c r="AI313">
        <v>0</v>
      </c>
      <c r="AJ313" t="s">
        <v>1094</v>
      </c>
      <c r="AK313" t="s">
        <v>213</v>
      </c>
      <c r="AL313" t="s">
        <v>214</v>
      </c>
      <c r="AM313" t="str">
        <f t="shared" si="13"/>
        <v>2020-2024</v>
      </c>
      <c r="AN313">
        <f t="shared" si="14"/>
        <v>4</v>
      </c>
    </row>
    <row r="314" spans="1:40" x14ac:dyDescent="0.2">
      <c r="A314">
        <v>313</v>
      </c>
      <c r="B314" t="s">
        <v>1096</v>
      </c>
      <c r="C314" t="s">
        <v>1717</v>
      </c>
      <c r="D314" t="s">
        <v>186</v>
      </c>
      <c r="E314" t="s">
        <v>98</v>
      </c>
      <c r="F314" t="s">
        <v>99</v>
      </c>
      <c r="G314">
        <v>33</v>
      </c>
      <c r="H314">
        <v>13.356608374</v>
      </c>
      <c r="I314" t="s">
        <v>88</v>
      </c>
      <c r="J314">
        <v>32</v>
      </c>
      <c r="K314">
        <v>17.656258770000001</v>
      </c>
      <c r="L314">
        <v>2</v>
      </c>
      <c r="M314" t="s">
        <v>97</v>
      </c>
      <c r="N314">
        <v>0</v>
      </c>
      <c r="O314">
        <v>48</v>
      </c>
      <c r="P314">
        <v>13</v>
      </c>
      <c r="Q314">
        <v>146</v>
      </c>
      <c r="R314" t="s">
        <v>1095</v>
      </c>
      <c r="S314" s="3" t="s">
        <v>90</v>
      </c>
      <c r="T314" s="3">
        <f t="shared" si="12"/>
        <v>1</v>
      </c>
      <c r="U314" t="s">
        <v>96</v>
      </c>
      <c r="V314" t="s">
        <v>142</v>
      </c>
      <c r="W314" t="s">
        <v>220</v>
      </c>
      <c r="X314">
        <v>0</v>
      </c>
      <c r="Y314" t="s">
        <v>41</v>
      </c>
      <c r="Z314" t="s">
        <v>219</v>
      </c>
      <c r="AA314" t="s">
        <v>224</v>
      </c>
      <c r="AB314" t="s">
        <v>225</v>
      </c>
      <c r="AC314">
        <v>2</v>
      </c>
      <c r="AD314">
        <v>0</v>
      </c>
      <c r="AE314">
        <v>1</v>
      </c>
      <c r="AF314">
        <v>1</v>
      </c>
      <c r="AG314">
        <v>0</v>
      </c>
      <c r="AH314">
        <v>0</v>
      </c>
      <c r="AI314">
        <v>0</v>
      </c>
      <c r="AJ314" t="s">
        <v>1097</v>
      </c>
      <c r="AK314" t="s">
        <v>156</v>
      </c>
      <c r="AL314" t="s">
        <v>157</v>
      </c>
      <c r="AM314" t="str">
        <f t="shared" si="13"/>
        <v>2016-2020</v>
      </c>
      <c r="AN314">
        <f t="shared" si="14"/>
        <v>4</v>
      </c>
    </row>
    <row r="315" spans="1:40" x14ac:dyDescent="0.2">
      <c r="A315">
        <v>314</v>
      </c>
      <c r="B315" t="s">
        <v>1098</v>
      </c>
      <c r="C315" t="s">
        <v>1717</v>
      </c>
      <c r="D315" t="s">
        <v>186</v>
      </c>
      <c r="E315" t="s">
        <v>98</v>
      </c>
      <c r="F315" t="s">
        <v>99</v>
      </c>
      <c r="G315">
        <v>30</v>
      </c>
      <c r="H315">
        <v>10.914937070000001</v>
      </c>
      <c r="I315" t="s">
        <v>88</v>
      </c>
      <c r="J315">
        <v>31</v>
      </c>
      <c r="K315">
        <v>17.116997390000009</v>
      </c>
      <c r="L315">
        <v>4</v>
      </c>
      <c r="M315" t="s">
        <v>97</v>
      </c>
      <c r="N315">
        <v>1</v>
      </c>
      <c r="O315">
        <v>43</v>
      </c>
      <c r="P315">
        <v>45</v>
      </c>
      <c r="Q315">
        <v>146</v>
      </c>
      <c r="R315" t="s">
        <v>1095</v>
      </c>
      <c r="S315" s="3" t="s">
        <v>90</v>
      </c>
      <c r="T315" s="3">
        <f t="shared" si="12"/>
        <v>1</v>
      </c>
      <c r="U315" t="s">
        <v>96</v>
      </c>
      <c r="V315" t="s">
        <v>142</v>
      </c>
      <c r="W315" t="s">
        <v>220</v>
      </c>
      <c r="X315">
        <v>0</v>
      </c>
      <c r="Y315" t="s">
        <v>41</v>
      </c>
      <c r="Z315" t="s">
        <v>219</v>
      </c>
      <c r="AA315" t="s">
        <v>224</v>
      </c>
      <c r="AB315" t="s">
        <v>225</v>
      </c>
      <c r="AC315">
        <v>2</v>
      </c>
      <c r="AD315">
        <v>1</v>
      </c>
      <c r="AE315">
        <v>1</v>
      </c>
      <c r="AF315">
        <v>0</v>
      </c>
      <c r="AG315">
        <v>0</v>
      </c>
      <c r="AH315">
        <v>0</v>
      </c>
      <c r="AI315">
        <v>0</v>
      </c>
      <c r="AJ315" t="s">
        <v>1099</v>
      </c>
      <c r="AK315" t="s">
        <v>82</v>
      </c>
      <c r="AL315" t="s">
        <v>83</v>
      </c>
      <c r="AM315" t="str">
        <f t="shared" si="13"/>
        <v>2014-2016</v>
      </c>
      <c r="AN315">
        <f t="shared" si="14"/>
        <v>2</v>
      </c>
    </row>
    <row r="316" spans="1:40" x14ac:dyDescent="0.2">
      <c r="A316">
        <v>315</v>
      </c>
      <c r="B316" t="s">
        <v>1100</v>
      </c>
      <c r="C316" t="s">
        <v>1718</v>
      </c>
      <c r="D316" t="s">
        <v>186</v>
      </c>
      <c r="E316" t="s">
        <v>98</v>
      </c>
      <c r="F316" t="s">
        <v>99</v>
      </c>
      <c r="G316">
        <v>19</v>
      </c>
      <c r="H316">
        <v>6.8790388899999986</v>
      </c>
      <c r="I316" t="s">
        <v>88</v>
      </c>
      <c r="J316">
        <v>13</v>
      </c>
      <c r="K316">
        <v>7.6943938000000003</v>
      </c>
      <c r="L316">
        <v>3</v>
      </c>
      <c r="M316" t="s">
        <v>97</v>
      </c>
      <c r="N316">
        <v>0</v>
      </c>
      <c r="O316">
        <v>22</v>
      </c>
      <c r="P316">
        <v>19</v>
      </c>
      <c r="Q316">
        <v>146</v>
      </c>
      <c r="R316" t="s">
        <v>1095</v>
      </c>
      <c r="S316" s="3" t="s">
        <v>90</v>
      </c>
      <c r="T316" s="3">
        <f t="shared" si="12"/>
        <v>1</v>
      </c>
      <c r="U316" t="s">
        <v>96</v>
      </c>
      <c r="V316" t="s">
        <v>142</v>
      </c>
      <c r="W316" t="s">
        <v>220</v>
      </c>
      <c r="X316">
        <v>0</v>
      </c>
      <c r="Y316" t="s">
        <v>41</v>
      </c>
      <c r="Z316" t="s">
        <v>219</v>
      </c>
      <c r="AA316" t="s">
        <v>224</v>
      </c>
      <c r="AB316" t="s">
        <v>225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</v>
      </c>
      <c r="AJ316" t="s">
        <v>1101</v>
      </c>
      <c r="AK316" t="s">
        <v>65</v>
      </c>
      <c r="AL316" t="s">
        <v>66</v>
      </c>
      <c r="AM316" t="str">
        <f t="shared" si="13"/>
        <v>2024-2027</v>
      </c>
      <c r="AN316">
        <f t="shared" si="14"/>
        <v>3</v>
      </c>
    </row>
    <row r="317" spans="1:40" x14ac:dyDescent="0.2">
      <c r="A317">
        <v>316</v>
      </c>
      <c r="B317" t="s">
        <v>1102</v>
      </c>
      <c r="C317" t="s">
        <v>1717</v>
      </c>
      <c r="D317" t="s">
        <v>186</v>
      </c>
      <c r="E317" t="s">
        <v>98</v>
      </c>
      <c r="F317" t="s">
        <v>99</v>
      </c>
      <c r="G317">
        <v>44</v>
      </c>
      <c r="H317">
        <v>18.663281596000001</v>
      </c>
      <c r="I317" t="s">
        <v>88</v>
      </c>
      <c r="J317">
        <v>41</v>
      </c>
      <c r="K317">
        <v>25.09893477</v>
      </c>
      <c r="L317">
        <v>2</v>
      </c>
      <c r="M317" t="s">
        <v>97</v>
      </c>
      <c r="N317">
        <v>0</v>
      </c>
      <c r="O317">
        <v>50</v>
      </c>
      <c r="P317">
        <v>12</v>
      </c>
      <c r="Q317">
        <v>147</v>
      </c>
      <c r="R317" t="s">
        <v>1104</v>
      </c>
      <c r="S317" s="3" t="s">
        <v>117</v>
      </c>
      <c r="T317" s="3">
        <f t="shared" si="12"/>
        <v>1</v>
      </c>
      <c r="U317" t="s">
        <v>96</v>
      </c>
      <c r="V317" t="s">
        <v>142</v>
      </c>
      <c r="W317" t="s">
        <v>220</v>
      </c>
      <c r="X317">
        <v>0</v>
      </c>
      <c r="Y317" t="s">
        <v>41</v>
      </c>
      <c r="Z317" t="s">
        <v>219</v>
      </c>
      <c r="AA317" t="s">
        <v>224</v>
      </c>
      <c r="AB317" t="s">
        <v>225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 t="s">
        <v>1103</v>
      </c>
      <c r="AK317" t="s">
        <v>65</v>
      </c>
      <c r="AL317" t="s">
        <v>66</v>
      </c>
      <c r="AM317" t="str">
        <f t="shared" si="13"/>
        <v>2024-2027</v>
      </c>
      <c r="AN317">
        <f t="shared" si="14"/>
        <v>3</v>
      </c>
    </row>
    <row r="318" spans="1:40" x14ac:dyDescent="0.2">
      <c r="A318">
        <v>317</v>
      </c>
      <c r="B318" t="s">
        <v>1105</v>
      </c>
      <c r="C318" t="s">
        <v>1717</v>
      </c>
      <c r="D318" t="s">
        <v>60</v>
      </c>
      <c r="E318" t="s">
        <v>150</v>
      </c>
      <c r="F318" t="s">
        <v>151</v>
      </c>
      <c r="G318">
        <v>167</v>
      </c>
      <c r="H318">
        <v>94.305471439999991</v>
      </c>
      <c r="I318" t="s">
        <v>140</v>
      </c>
      <c r="J318">
        <v>63</v>
      </c>
      <c r="K318">
        <v>15.071421265</v>
      </c>
      <c r="L318">
        <v>16</v>
      </c>
      <c r="M318" t="s">
        <v>67</v>
      </c>
      <c r="N318">
        <v>32</v>
      </c>
      <c r="O318">
        <v>198</v>
      </c>
      <c r="P318">
        <v>912</v>
      </c>
      <c r="Q318">
        <v>148</v>
      </c>
      <c r="R318" t="s">
        <v>1107</v>
      </c>
      <c r="S318" s="3" t="s">
        <v>90</v>
      </c>
      <c r="T318" s="3">
        <f t="shared" si="12"/>
        <v>1</v>
      </c>
      <c r="U318" t="s">
        <v>96</v>
      </c>
      <c r="V318" t="s">
        <v>142</v>
      </c>
      <c r="W318" t="s">
        <v>220</v>
      </c>
      <c r="X318">
        <v>0</v>
      </c>
      <c r="Y318" t="s">
        <v>41</v>
      </c>
      <c r="Z318" t="s">
        <v>219</v>
      </c>
      <c r="AA318" t="s">
        <v>224</v>
      </c>
      <c r="AB318" t="s">
        <v>225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 t="s">
        <v>1106</v>
      </c>
      <c r="AK318" t="s">
        <v>65</v>
      </c>
      <c r="AL318" t="s">
        <v>66</v>
      </c>
      <c r="AM318" t="str">
        <f t="shared" si="13"/>
        <v>2024-2027</v>
      </c>
      <c r="AN318">
        <f t="shared" si="14"/>
        <v>3</v>
      </c>
    </row>
    <row r="319" spans="1:40" x14ac:dyDescent="0.2">
      <c r="A319">
        <v>318</v>
      </c>
      <c r="B319" t="s">
        <v>1108</v>
      </c>
      <c r="C319" t="s">
        <v>1718</v>
      </c>
      <c r="D319" t="s">
        <v>72</v>
      </c>
      <c r="E319" t="s">
        <v>68</v>
      </c>
      <c r="F319" t="s">
        <v>362</v>
      </c>
      <c r="G319">
        <v>43</v>
      </c>
      <c r="H319">
        <v>20.969772205000002</v>
      </c>
      <c r="I319" t="s">
        <v>357</v>
      </c>
      <c r="J319">
        <v>37</v>
      </c>
      <c r="K319">
        <v>16.308726159999999</v>
      </c>
      <c r="L319">
        <v>13</v>
      </c>
      <c r="M319" t="s">
        <v>67</v>
      </c>
      <c r="N319">
        <v>20</v>
      </c>
      <c r="O319">
        <v>75</v>
      </c>
      <c r="P319">
        <v>847</v>
      </c>
      <c r="Q319">
        <v>149</v>
      </c>
      <c r="R319" t="s">
        <v>1110</v>
      </c>
      <c r="S319" s="3" t="s">
        <v>90</v>
      </c>
      <c r="T319" s="3">
        <f t="shared" si="12"/>
        <v>1</v>
      </c>
      <c r="U319" t="s">
        <v>96</v>
      </c>
      <c r="V319" t="s">
        <v>142</v>
      </c>
      <c r="W319" t="s">
        <v>220</v>
      </c>
      <c r="X319">
        <v>0</v>
      </c>
      <c r="Y319" t="s">
        <v>41</v>
      </c>
      <c r="Z319" t="s">
        <v>219</v>
      </c>
      <c r="AA319" t="s">
        <v>224</v>
      </c>
      <c r="AB319" t="s">
        <v>234</v>
      </c>
      <c r="AC319">
        <v>2</v>
      </c>
      <c r="AD319">
        <v>0</v>
      </c>
      <c r="AE319">
        <v>1</v>
      </c>
      <c r="AF319">
        <v>1</v>
      </c>
      <c r="AG319">
        <v>0</v>
      </c>
      <c r="AH319">
        <v>0</v>
      </c>
      <c r="AI319">
        <v>0</v>
      </c>
      <c r="AJ319" t="s">
        <v>1109</v>
      </c>
      <c r="AK319" t="s">
        <v>156</v>
      </c>
      <c r="AL319" t="s">
        <v>157</v>
      </c>
      <c r="AM319" t="str">
        <f t="shared" si="13"/>
        <v>2016-2020</v>
      </c>
      <c r="AN319">
        <f t="shared" si="14"/>
        <v>4</v>
      </c>
    </row>
    <row r="320" spans="1:40" x14ac:dyDescent="0.2">
      <c r="A320">
        <v>319</v>
      </c>
      <c r="B320" t="s">
        <v>1111</v>
      </c>
      <c r="C320" t="s">
        <v>1717</v>
      </c>
      <c r="D320" t="s">
        <v>72</v>
      </c>
      <c r="E320" t="s">
        <v>68</v>
      </c>
      <c r="F320" t="s">
        <v>408</v>
      </c>
      <c r="G320">
        <v>235</v>
      </c>
      <c r="H320">
        <v>88.940189020000005</v>
      </c>
      <c r="I320" t="s">
        <v>407</v>
      </c>
      <c r="J320">
        <v>229</v>
      </c>
      <c r="K320">
        <v>133.02637784999999</v>
      </c>
      <c r="L320">
        <v>20</v>
      </c>
      <c r="M320" t="s">
        <v>67</v>
      </c>
      <c r="N320">
        <v>53</v>
      </c>
      <c r="O320">
        <v>256</v>
      </c>
      <c r="P320">
        <v>1824</v>
      </c>
      <c r="Q320">
        <v>150</v>
      </c>
      <c r="R320" t="s">
        <v>1113</v>
      </c>
      <c r="S320" s="3" t="s">
        <v>90</v>
      </c>
      <c r="T320" s="3">
        <f t="shared" si="12"/>
        <v>1</v>
      </c>
      <c r="U320" t="s">
        <v>96</v>
      </c>
      <c r="V320" t="s">
        <v>142</v>
      </c>
      <c r="W320" t="s">
        <v>220</v>
      </c>
      <c r="X320">
        <v>0</v>
      </c>
      <c r="Y320" t="s">
        <v>41</v>
      </c>
      <c r="Z320" t="s">
        <v>219</v>
      </c>
      <c r="AA320" t="s">
        <v>63</v>
      </c>
      <c r="AB320" t="s">
        <v>64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 t="s">
        <v>1112</v>
      </c>
      <c r="AK320" t="s">
        <v>65</v>
      </c>
      <c r="AL320" t="s">
        <v>66</v>
      </c>
      <c r="AM320" t="str">
        <f t="shared" si="13"/>
        <v>2024-2027</v>
      </c>
      <c r="AN320">
        <f t="shared" si="14"/>
        <v>3</v>
      </c>
    </row>
    <row r="321" spans="1:40" x14ac:dyDescent="0.2">
      <c r="A321">
        <v>320</v>
      </c>
      <c r="B321" t="s">
        <v>1114</v>
      </c>
      <c r="C321" t="s">
        <v>1718</v>
      </c>
      <c r="D321" t="s">
        <v>72</v>
      </c>
      <c r="E321" t="s">
        <v>68</v>
      </c>
      <c r="F321" t="s">
        <v>298</v>
      </c>
      <c r="G321">
        <v>19</v>
      </c>
      <c r="H321">
        <v>7.0396960999999996</v>
      </c>
      <c r="I321" t="s">
        <v>295</v>
      </c>
      <c r="J321">
        <v>15</v>
      </c>
      <c r="K321">
        <v>6.5188123950000003</v>
      </c>
      <c r="L321">
        <v>6</v>
      </c>
      <c r="M321" t="s">
        <v>119</v>
      </c>
      <c r="N321">
        <v>4</v>
      </c>
      <c r="O321">
        <v>19</v>
      </c>
      <c r="P321">
        <v>156</v>
      </c>
      <c r="Q321">
        <v>151</v>
      </c>
      <c r="R321" t="s">
        <v>1116</v>
      </c>
      <c r="S321" s="3">
        <v>3</v>
      </c>
      <c r="T321" s="3">
        <f t="shared" si="12"/>
        <v>1</v>
      </c>
      <c r="U321" t="s">
        <v>149</v>
      </c>
      <c r="V321" t="s">
        <v>142</v>
      </c>
      <c r="W321" t="s">
        <v>220</v>
      </c>
      <c r="X321">
        <v>0</v>
      </c>
      <c r="Y321" t="s">
        <v>41</v>
      </c>
      <c r="Z321" t="s">
        <v>219</v>
      </c>
      <c r="AA321" t="s">
        <v>360</v>
      </c>
      <c r="AB321" t="s">
        <v>650</v>
      </c>
      <c r="AC321">
        <v>3</v>
      </c>
      <c r="AD321">
        <v>0</v>
      </c>
      <c r="AE321">
        <v>0</v>
      </c>
      <c r="AF321">
        <v>0</v>
      </c>
      <c r="AG321">
        <v>1</v>
      </c>
      <c r="AH321">
        <v>1</v>
      </c>
      <c r="AI321">
        <v>1</v>
      </c>
      <c r="AJ321" t="s">
        <v>1115</v>
      </c>
      <c r="AK321" t="s">
        <v>1117</v>
      </c>
      <c r="AL321" t="s">
        <v>270</v>
      </c>
      <c r="AM321" t="str">
        <f t="shared" si="13"/>
        <v>2020-2027</v>
      </c>
      <c r="AN321">
        <f t="shared" si="14"/>
        <v>7</v>
      </c>
    </row>
    <row r="322" spans="1:40" x14ac:dyDescent="0.2">
      <c r="A322">
        <v>321</v>
      </c>
      <c r="B322" t="s">
        <v>1118</v>
      </c>
      <c r="C322" t="s">
        <v>1718</v>
      </c>
      <c r="D322" t="s">
        <v>72</v>
      </c>
      <c r="E322" t="s">
        <v>173</v>
      </c>
      <c r="F322" t="s">
        <v>351</v>
      </c>
      <c r="G322">
        <v>275</v>
      </c>
      <c r="H322">
        <v>141.86930342799999</v>
      </c>
      <c r="I322" t="s">
        <v>349</v>
      </c>
      <c r="J322">
        <v>227</v>
      </c>
      <c r="K322">
        <v>117.035304002</v>
      </c>
      <c r="L322">
        <v>54</v>
      </c>
      <c r="M322" t="s">
        <v>49</v>
      </c>
      <c r="N322">
        <v>172</v>
      </c>
      <c r="O322">
        <v>317</v>
      </c>
      <c r="P322">
        <v>9754</v>
      </c>
      <c r="Q322">
        <v>152</v>
      </c>
      <c r="R322" t="s">
        <v>1120</v>
      </c>
      <c r="S322" s="3" t="s">
        <v>117</v>
      </c>
      <c r="T322" s="3">
        <f t="shared" si="12"/>
        <v>1</v>
      </c>
      <c r="U322" t="s">
        <v>96</v>
      </c>
      <c r="V322" t="s">
        <v>142</v>
      </c>
      <c r="W322" t="s">
        <v>220</v>
      </c>
      <c r="X322">
        <v>0</v>
      </c>
      <c r="Y322" t="s">
        <v>41</v>
      </c>
      <c r="Z322" t="s">
        <v>219</v>
      </c>
      <c r="AA322" t="s">
        <v>43</v>
      </c>
      <c r="AB322" t="s">
        <v>81</v>
      </c>
      <c r="AC322">
        <v>2</v>
      </c>
      <c r="AD322">
        <v>1</v>
      </c>
      <c r="AE322">
        <v>1</v>
      </c>
      <c r="AF322">
        <v>0</v>
      </c>
      <c r="AG322">
        <v>0</v>
      </c>
      <c r="AH322">
        <v>0</v>
      </c>
      <c r="AI322">
        <v>0</v>
      </c>
      <c r="AJ322" t="s">
        <v>1119</v>
      </c>
      <c r="AK322" t="s">
        <v>74</v>
      </c>
      <c r="AL322" t="s">
        <v>75</v>
      </c>
      <c r="AM322" t="str">
        <f t="shared" si="13"/>
        <v>2014-2018</v>
      </c>
      <c r="AN322">
        <f t="shared" si="14"/>
        <v>4</v>
      </c>
    </row>
    <row r="323" spans="1:40" x14ac:dyDescent="0.2">
      <c r="A323">
        <v>322</v>
      </c>
      <c r="B323" t="s">
        <v>1121</v>
      </c>
      <c r="C323" t="s">
        <v>1717</v>
      </c>
      <c r="D323" t="s">
        <v>79</v>
      </c>
      <c r="E323" t="s">
        <v>68</v>
      </c>
      <c r="F323" t="s">
        <v>84</v>
      </c>
      <c r="G323">
        <v>465</v>
      </c>
      <c r="H323">
        <v>224.61588138000019</v>
      </c>
      <c r="I323" t="s">
        <v>80</v>
      </c>
      <c r="J323">
        <v>339</v>
      </c>
      <c r="K323">
        <v>127.340571723</v>
      </c>
      <c r="L323">
        <v>40</v>
      </c>
      <c r="M323" t="s">
        <v>49</v>
      </c>
      <c r="N323">
        <v>137</v>
      </c>
      <c r="O323">
        <v>528</v>
      </c>
      <c r="P323">
        <v>5166</v>
      </c>
      <c r="Q323">
        <v>152</v>
      </c>
      <c r="R323" t="s">
        <v>1120</v>
      </c>
      <c r="S323" s="3" t="s">
        <v>117</v>
      </c>
      <c r="T323" s="3">
        <f t="shared" ref="T323:T386" si="15">IF(OR(S323="Sem IGC", ISBLANK(S323)), 0, 1)</f>
        <v>1</v>
      </c>
      <c r="U323" t="s">
        <v>96</v>
      </c>
      <c r="V323" t="s">
        <v>142</v>
      </c>
      <c r="W323" t="s">
        <v>220</v>
      </c>
      <c r="X323">
        <v>0</v>
      </c>
      <c r="Y323" t="s">
        <v>41</v>
      </c>
      <c r="Z323" t="s">
        <v>219</v>
      </c>
      <c r="AA323" t="s">
        <v>43</v>
      </c>
      <c r="AB323" t="s">
        <v>81</v>
      </c>
      <c r="AC323">
        <v>2</v>
      </c>
      <c r="AD323">
        <v>0</v>
      </c>
      <c r="AE323">
        <v>0</v>
      </c>
      <c r="AF323">
        <v>1</v>
      </c>
      <c r="AG323">
        <v>1</v>
      </c>
      <c r="AH323">
        <v>0</v>
      </c>
      <c r="AI323">
        <v>0</v>
      </c>
      <c r="AJ323" t="s">
        <v>1122</v>
      </c>
      <c r="AK323" t="s">
        <v>193</v>
      </c>
      <c r="AL323" t="s">
        <v>194</v>
      </c>
      <c r="AM323" t="str">
        <f t="shared" ref="AM323:AM386" si="16">LEFT(AL323,4) &amp; "-" &amp; RIGHT(AL323,4)</f>
        <v>2018-2021</v>
      </c>
      <c r="AN323">
        <f t="shared" ref="AN323:AN386" si="17">VALUE(RIGHT(AL323,4)) - VALUE(LEFT(AL323,4))</f>
        <v>3</v>
      </c>
    </row>
    <row r="324" spans="1:40" x14ac:dyDescent="0.2">
      <c r="A324">
        <v>323</v>
      </c>
      <c r="B324" t="s">
        <v>1123</v>
      </c>
      <c r="C324" t="s">
        <v>1717</v>
      </c>
      <c r="D324" t="s">
        <v>79</v>
      </c>
      <c r="E324" t="s">
        <v>68</v>
      </c>
      <c r="F324" t="s">
        <v>111</v>
      </c>
      <c r="G324">
        <v>223</v>
      </c>
      <c r="H324">
        <v>164.60599825</v>
      </c>
      <c r="I324" t="s">
        <v>108</v>
      </c>
      <c r="J324">
        <v>202</v>
      </c>
      <c r="K324">
        <v>128.58163479000001</v>
      </c>
      <c r="L324">
        <v>36</v>
      </c>
      <c r="M324" t="s">
        <v>49</v>
      </c>
      <c r="N324">
        <v>94</v>
      </c>
      <c r="O324">
        <v>241</v>
      </c>
      <c r="P324">
        <v>4677</v>
      </c>
      <c r="Q324">
        <v>152</v>
      </c>
      <c r="R324" t="s">
        <v>1120</v>
      </c>
      <c r="S324" s="3" t="s">
        <v>117</v>
      </c>
      <c r="T324" s="3">
        <f t="shared" si="15"/>
        <v>1</v>
      </c>
      <c r="U324" t="s">
        <v>96</v>
      </c>
      <c r="V324" t="s">
        <v>142</v>
      </c>
      <c r="W324" t="s">
        <v>220</v>
      </c>
      <c r="X324">
        <v>0</v>
      </c>
      <c r="Y324" t="s">
        <v>41</v>
      </c>
      <c r="Z324" t="s">
        <v>219</v>
      </c>
      <c r="AA324" t="s">
        <v>43</v>
      </c>
      <c r="AB324" t="s">
        <v>81</v>
      </c>
      <c r="AC324">
        <v>2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1</v>
      </c>
      <c r="AJ324" t="s">
        <v>1124</v>
      </c>
      <c r="AK324" t="s">
        <v>55</v>
      </c>
      <c r="AL324" t="s">
        <v>56</v>
      </c>
      <c r="AM324" t="str">
        <f t="shared" si="16"/>
        <v>2022-2027</v>
      </c>
      <c r="AN324">
        <f t="shared" si="17"/>
        <v>5</v>
      </c>
    </row>
    <row r="325" spans="1:40" x14ac:dyDescent="0.2">
      <c r="A325">
        <v>324</v>
      </c>
      <c r="B325" t="s">
        <v>1125</v>
      </c>
      <c r="C325" t="s">
        <v>1718</v>
      </c>
      <c r="D325" t="s">
        <v>248</v>
      </c>
      <c r="E325" t="s">
        <v>68</v>
      </c>
      <c r="F325" t="s">
        <v>362</v>
      </c>
      <c r="G325">
        <v>57</v>
      </c>
      <c r="H325">
        <v>20.33234178</v>
      </c>
      <c r="I325" t="s">
        <v>357</v>
      </c>
      <c r="J325">
        <v>23</v>
      </c>
      <c r="K325">
        <v>11.33888761</v>
      </c>
      <c r="L325">
        <v>13</v>
      </c>
      <c r="M325" t="s">
        <v>67</v>
      </c>
      <c r="N325">
        <v>15</v>
      </c>
      <c r="O325">
        <v>196</v>
      </c>
      <c r="P325">
        <v>849</v>
      </c>
      <c r="Q325">
        <v>153</v>
      </c>
      <c r="R325" t="s">
        <v>1127</v>
      </c>
      <c r="S325" s="3" t="s">
        <v>141</v>
      </c>
      <c r="T325" s="3">
        <f t="shared" si="15"/>
        <v>1</v>
      </c>
      <c r="U325" t="s">
        <v>149</v>
      </c>
      <c r="V325" t="s">
        <v>142</v>
      </c>
      <c r="W325" t="s">
        <v>220</v>
      </c>
      <c r="X325">
        <v>0</v>
      </c>
      <c r="Y325" t="s">
        <v>41</v>
      </c>
      <c r="Z325" t="s">
        <v>219</v>
      </c>
      <c r="AA325" t="s">
        <v>63</v>
      </c>
      <c r="AB325" t="s">
        <v>206</v>
      </c>
      <c r="AC325">
        <v>1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 t="s">
        <v>1126</v>
      </c>
      <c r="AK325" t="s">
        <v>202</v>
      </c>
      <c r="AL325" t="s">
        <v>203</v>
      </c>
      <c r="AM325" t="str">
        <f t="shared" si="16"/>
        <v>2018-2020</v>
      </c>
      <c r="AN325">
        <f t="shared" si="17"/>
        <v>2</v>
      </c>
    </row>
    <row r="326" spans="1:40" x14ac:dyDescent="0.2">
      <c r="A326">
        <v>325</v>
      </c>
      <c r="B326" t="s">
        <v>1128</v>
      </c>
      <c r="C326" t="s">
        <v>1718</v>
      </c>
      <c r="D326" t="s">
        <v>285</v>
      </c>
      <c r="E326" t="s">
        <v>98</v>
      </c>
      <c r="F326" t="s">
        <v>99</v>
      </c>
      <c r="G326">
        <v>18</v>
      </c>
      <c r="H326">
        <v>6.9395950300000013</v>
      </c>
      <c r="I326" t="s">
        <v>88</v>
      </c>
      <c r="J326">
        <v>21</v>
      </c>
      <c r="K326">
        <v>11.75091741</v>
      </c>
      <c r="L326">
        <v>4</v>
      </c>
      <c r="M326" t="s">
        <v>97</v>
      </c>
      <c r="N326">
        <v>2</v>
      </c>
      <c r="O326">
        <v>28</v>
      </c>
      <c r="P326">
        <v>64</v>
      </c>
      <c r="Q326">
        <v>153</v>
      </c>
      <c r="R326" t="s">
        <v>1127</v>
      </c>
      <c r="S326" s="3" t="s">
        <v>141</v>
      </c>
      <c r="T326" s="3">
        <f t="shared" si="15"/>
        <v>1</v>
      </c>
      <c r="U326" t="s">
        <v>149</v>
      </c>
      <c r="V326" t="s">
        <v>142</v>
      </c>
      <c r="W326" t="s">
        <v>220</v>
      </c>
      <c r="X326">
        <v>0</v>
      </c>
      <c r="Y326" t="s">
        <v>41</v>
      </c>
      <c r="Z326" t="s">
        <v>219</v>
      </c>
      <c r="AA326" t="s">
        <v>63</v>
      </c>
      <c r="AB326" t="s">
        <v>206</v>
      </c>
      <c r="AC326">
        <v>1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 t="s">
        <v>1129</v>
      </c>
      <c r="AK326" t="s">
        <v>93</v>
      </c>
      <c r="AL326" t="s">
        <v>94</v>
      </c>
      <c r="AM326" t="str">
        <f t="shared" si="16"/>
        <v>2020-2021</v>
      </c>
      <c r="AN326">
        <f t="shared" si="17"/>
        <v>1</v>
      </c>
    </row>
    <row r="327" spans="1:40" x14ac:dyDescent="0.2">
      <c r="A327">
        <v>326</v>
      </c>
      <c r="B327" t="s">
        <v>1130</v>
      </c>
      <c r="C327" t="s">
        <v>1717</v>
      </c>
      <c r="D327" t="s">
        <v>72</v>
      </c>
      <c r="E327" t="s">
        <v>68</v>
      </c>
      <c r="F327" t="s">
        <v>408</v>
      </c>
      <c r="G327">
        <v>313</v>
      </c>
      <c r="H327">
        <v>117.047500705</v>
      </c>
      <c r="I327" t="s">
        <v>407</v>
      </c>
      <c r="J327">
        <v>264</v>
      </c>
      <c r="K327">
        <v>137.40393867499989</v>
      </c>
      <c r="L327">
        <v>27</v>
      </c>
      <c r="M327" t="s">
        <v>49</v>
      </c>
      <c r="N327">
        <v>120</v>
      </c>
      <c r="O327">
        <v>354</v>
      </c>
      <c r="P327">
        <v>3210</v>
      </c>
      <c r="Q327">
        <v>154</v>
      </c>
      <c r="R327" t="s">
        <v>1132</v>
      </c>
      <c r="S327" s="3" t="s">
        <v>117</v>
      </c>
      <c r="T327" s="3">
        <f t="shared" si="15"/>
        <v>1</v>
      </c>
      <c r="U327" t="s">
        <v>96</v>
      </c>
      <c r="V327" t="s">
        <v>142</v>
      </c>
      <c r="W327" t="s">
        <v>95</v>
      </c>
      <c r="X327">
        <v>0</v>
      </c>
      <c r="Y327" t="s">
        <v>41</v>
      </c>
      <c r="Z327" t="s">
        <v>92</v>
      </c>
      <c r="AA327" t="s">
        <v>224</v>
      </c>
      <c r="AB327" t="s">
        <v>225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 t="s">
        <v>1131</v>
      </c>
      <c r="AK327" t="s">
        <v>65</v>
      </c>
      <c r="AL327" t="s">
        <v>66</v>
      </c>
      <c r="AM327" t="str">
        <f t="shared" si="16"/>
        <v>2024-2027</v>
      </c>
      <c r="AN327">
        <f t="shared" si="17"/>
        <v>3</v>
      </c>
    </row>
    <row r="328" spans="1:40" x14ac:dyDescent="0.2">
      <c r="A328">
        <v>327</v>
      </c>
      <c r="B328" t="s">
        <v>1133</v>
      </c>
      <c r="C328" t="s">
        <v>1717</v>
      </c>
      <c r="D328" t="s">
        <v>231</v>
      </c>
      <c r="E328" t="s">
        <v>98</v>
      </c>
      <c r="F328" t="s">
        <v>99</v>
      </c>
      <c r="G328">
        <v>50</v>
      </c>
      <c r="H328">
        <v>24.214894019999999</v>
      </c>
      <c r="I328" t="s">
        <v>88</v>
      </c>
      <c r="J328">
        <v>40</v>
      </c>
      <c r="K328">
        <v>19.075909840000001</v>
      </c>
      <c r="L328">
        <v>4</v>
      </c>
      <c r="M328" t="s">
        <v>97</v>
      </c>
      <c r="N328">
        <v>1</v>
      </c>
      <c r="O328">
        <v>59</v>
      </c>
      <c r="P328">
        <v>101</v>
      </c>
      <c r="Q328">
        <v>155</v>
      </c>
      <c r="R328" t="s">
        <v>1135</v>
      </c>
      <c r="S328" s="3" t="s">
        <v>90</v>
      </c>
      <c r="T328" s="3">
        <f t="shared" si="15"/>
        <v>1</v>
      </c>
      <c r="U328" t="s">
        <v>96</v>
      </c>
      <c r="V328" t="s">
        <v>142</v>
      </c>
      <c r="W328" t="s">
        <v>95</v>
      </c>
      <c r="X328">
        <v>0</v>
      </c>
      <c r="Y328" t="s">
        <v>41</v>
      </c>
      <c r="Z328" t="s">
        <v>92</v>
      </c>
      <c r="AA328" t="s">
        <v>224</v>
      </c>
      <c r="AB328" t="s">
        <v>346</v>
      </c>
      <c r="AC328">
        <v>4</v>
      </c>
      <c r="AD328">
        <v>1</v>
      </c>
      <c r="AE328">
        <v>1</v>
      </c>
      <c r="AF328">
        <v>1</v>
      </c>
      <c r="AG328">
        <v>0</v>
      </c>
      <c r="AH328">
        <v>0</v>
      </c>
      <c r="AI328">
        <v>1</v>
      </c>
      <c r="AJ328" t="s">
        <v>1134</v>
      </c>
      <c r="AK328" t="s">
        <v>1136</v>
      </c>
      <c r="AL328" t="s">
        <v>1137</v>
      </c>
      <c r="AM328" t="str">
        <f t="shared" si="16"/>
        <v>2014-2027</v>
      </c>
      <c r="AN328">
        <f t="shared" si="17"/>
        <v>13</v>
      </c>
    </row>
    <row r="329" spans="1:40" x14ac:dyDescent="0.2">
      <c r="A329">
        <v>328</v>
      </c>
      <c r="B329" t="s">
        <v>1138</v>
      </c>
      <c r="C329" t="s">
        <v>1717</v>
      </c>
      <c r="D329" t="s">
        <v>72</v>
      </c>
      <c r="E329" t="s">
        <v>68</v>
      </c>
      <c r="F329" t="s">
        <v>386</v>
      </c>
      <c r="G329">
        <v>79</v>
      </c>
      <c r="H329">
        <v>34.790185659999992</v>
      </c>
      <c r="I329" t="s">
        <v>385</v>
      </c>
      <c r="J329">
        <v>74</v>
      </c>
      <c r="K329">
        <v>41.469989889999987</v>
      </c>
      <c r="L329">
        <v>10</v>
      </c>
      <c r="M329" t="s">
        <v>119</v>
      </c>
      <c r="N329">
        <v>12</v>
      </c>
      <c r="O329">
        <v>83</v>
      </c>
      <c r="P329">
        <v>378</v>
      </c>
      <c r="Q329">
        <v>155</v>
      </c>
      <c r="R329" t="s">
        <v>1135</v>
      </c>
      <c r="S329" s="3" t="s">
        <v>90</v>
      </c>
      <c r="T329" s="3">
        <f t="shared" si="15"/>
        <v>1</v>
      </c>
      <c r="U329" t="s">
        <v>96</v>
      </c>
      <c r="V329" t="s">
        <v>142</v>
      </c>
      <c r="W329" t="s">
        <v>95</v>
      </c>
      <c r="X329">
        <v>0</v>
      </c>
      <c r="Y329" t="s">
        <v>41</v>
      </c>
      <c r="Z329" t="s">
        <v>92</v>
      </c>
      <c r="AA329" t="s">
        <v>224</v>
      </c>
      <c r="AB329" t="s">
        <v>346</v>
      </c>
      <c r="AC329">
        <v>2</v>
      </c>
      <c r="AD329">
        <v>0</v>
      </c>
      <c r="AE329">
        <v>0</v>
      </c>
      <c r="AF329">
        <v>0</v>
      </c>
      <c r="AG329">
        <v>1</v>
      </c>
      <c r="AH329">
        <v>1</v>
      </c>
      <c r="AI329">
        <v>0</v>
      </c>
      <c r="AJ329" t="s">
        <v>1139</v>
      </c>
      <c r="AK329" t="s">
        <v>213</v>
      </c>
      <c r="AL329" t="s">
        <v>214</v>
      </c>
      <c r="AM329" t="str">
        <f t="shared" si="16"/>
        <v>2020-2024</v>
      </c>
      <c r="AN329">
        <f t="shared" si="17"/>
        <v>4</v>
      </c>
    </row>
    <row r="330" spans="1:40" x14ac:dyDescent="0.2">
      <c r="A330">
        <v>329</v>
      </c>
      <c r="B330" t="s">
        <v>1140</v>
      </c>
      <c r="C330" t="s">
        <v>1718</v>
      </c>
      <c r="D330" t="s">
        <v>79</v>
      </c>
      <c r="E330" t="s">
        <v>68</v>
      </c>
      <c r="F330" t="s">
        <v>1144</v>
      </c>
      <c r="G330">
        <v>49</v>
      </c>
      <c r="H330">
        <v>32.431362030000003</v>
      </c>
      <c r="I330" t="s">
        <v>1142</v>
      </c>
      <c r="J330">
        <v>37</v>
      </c>
      <c r="K330">
        <v>15.84883608</v>
      </c>
      <c r="L330">
        <v>24</v>
      </c>
      <c r="M330" t="s">
        <v>49</v>
      </c>
      <c r="N330">
        <v>30</v>
      </c>
      <c r="O330">
        <v>58</v>
      </c>
      <c r="P330">
        <v>1935</v>
      </c>
      <c r="Q330">
        <v>156</v>
      </c>
      <c r="R330" t="s">
        <v>1143</v>
      </c>
      <c r="S330" s="3">
        <v>4</v>
      </c>
      <c r="T330" s="3">
        <f t="shared" si="15"/>
        <v>1</v>
      </c>
      <c r="U330" t="s">
        <v>96</v>
      </c>
      <c r="V330" t="s">
        <v>142</v>
      </c>
      <c r="W330" t="s">
        <v>95</v>
      </c>
      <c r="X330">
        <v>0</v>
      </c>
      <c r="Y330" t="s">
        <v>41</v>
      </c>
      <c r="Z330" t="s">
        <v>92</v>
      </c>
      <c r="AA330" t="s">
        <v>191</v>
      </c>
      <c r="AB330" t="s">
        <v>457</v>
      </c>
      <c r="AC330">
        <v>2</v>
      </c>
      <c r="AD330">
        <v>0</v>
      </c>
      <c r="AE330">
        <v>0</v>
      </c>
      <c r="AF330">
        <v>0</v>
      </c>
      <c r="AG330">
        <v>1</v>
      </c>
      <c r="AH330">
        <v>1</v>
      </c>
      <c r="AI330">
        <v>0</v>
      </c>
      <c r="AJ330" t="s">
        <v>1141</v>
      </c>
      <c r="AK330" t="s">
        <v>213</v>
      </c>
      <c r="AL330" t="s">
        <v>214</v>
      </c>
      <c r="AM330" t="str">
        <f t="shared" si="16"/>
        <v>2020-2024</v>
      </c>
      <c r="AN330">
        <f t="shared" si="17"/>
        <v>4</v>
      </c>
    </row>
    <row r="331" spans="1:40" x14ac:dyDescent="0.2">
      <c r="A331">
        <v>330</v>
      </c>
      <c r="B331" t="s">
        <v>1145</v>
      </c>
      <c r="C331" t="s">
        <v>1718</v>
      </c>
      <c r="D331" t="s">
        <v>72</v>
      </c>
      <c r="E331" t="s">
        <v>68</v>
      </c>
      <c r="F331" t="s">
        <v>502</v>
      </c>
      <c r="G331">
        <v>16</v>
      </c>
      <c r="H331">
        <v>5.7830958899999994</v>
      </c>
      <c r="I331" t="s">
        <v>501</v>
      </c>
      <c r="J331">
        <v>14</v>
      </c>
      <c r="K331">
        <v>5.2622963399999998</v>
      </c>
      <c r="L331">
        <v>6</v>
      </c>
      <c r="M331" t="s">
        <v>119</v>
      </c>
      <c r="N331">
        <v>4</v>
      </c>
      <c r="O331">
        <v>20</v>
      </c>
      <c r="P331">
        <v>291</v>
      </c>
      <c r="Q331">
        <v>156</v>
      </c>
      <c r="R331" t="s">
        <v>1143</v>
      </c>
      <c r="S331" s="3">
        <v>4</v>
      </c>
      <c r="T331" s="3">
        <f t="shared" si="15"/>
        <v>1</v>
      </c>
      <c r="U331" t="s">
        <v>96</v>
      </c>
      <c r="V331" t="s">
        <v>142</v>
      </c>
      <c r="W331" t="s">
        <v>95</v>
      </c>
      <c r="X331">
        <v>0</v>
      </c>
      <c r="Y331" t="s">
        <v>41</v>
      </c>
      <c r="Z331" t="s">
        <v>92</v>
      </c>
      <c r="AA331" t="s">
        <v>63</v>
      </c>
      <c r="AB331" t="s">
        <v>64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 t="s">
        <v>1146</v>
      </c>
      <c r="AK331" t="s">
        <v>65</v>
      </c>
      <c r="AL331" t="s">
        <v>66</v>
      </c>
      <c r="AM331" t="str">
        <f t="shared" si="16"/>
        <v>2024-2027</v>
      </c>
      <c r="AN331">
        <f t="shared" si="17"/>
        <v>3</v>
      </c>
    </row>
    <row r="332" spans="1:40" x14ac:dyDescent="0.2">
      <c r="A332">
        <v>331</v>
      </c>
      <c r="B332" t="s">
        <v>1147</v>
      </c>
      <c r="C332" t="s">
        <v>1717</v>
      </c>
      <c r="D332" t="s">
        <v>114</v>
      </c>
      <c r="E332" t="s">
        <v>50</v>
      </c>
      <c r="F332" t="s">
        <v>120</v>
      </c>
      <c r="G332">
        <v>61</v>
      </c>
      <c r="H332">
        <v>39.621595434000007</v>
      </c>
      <c r="I332" t="s">
        <v>115</v>
      </c>
      <c r="J332">
        <v>42</v>
      </c>
      <c r="K332">
        <v>13.30320524</v>
      </c>
      <c r="L332">
        <v>15</v>
      </c>
      <c r="M332" t="s">
        <v>67</v>
      </c>
      <c r="N332">
        <v>25</v>
      </c>
      <c r="O332">
        <v>105</v>
      </c>
      <c r="P332">
        <v>611</v>
      </c>
      <c r="Q332">
        <v>156</v>
      </c>
      <c r="R332" t="s">
        <v>1143</v>
      </c>
      <c r="S332" s="3">
        <v>4</v>
      </c>
      <c r="T332" s="3">
        <f t="shared" si="15"/>
        <v>1</v>
      </c>
      <c r="U332" t="s">
        <v>96</v>
      </c>
      <c r="V332" t="s">
        <v>142</v>
      </c>
      <c r="W332" t="s">
        <v>95</v>
      </c>
      <c r="X332">
        <v>0</v>
      </c>
      <c r="Y332" t="s">
        <v>41</v>
      </c>
      <c r="Z332" t="s">
        <v>92</v>
      </c>
      <c r="AA332" t="s">
        <v>191</v>
      </c>
      <c r="AB332" t="s">
        <v>457</v>
      </c>
      <c r="AC332">
        <v>1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 t="s">
        <v>1148</v>
      </c>
      <c r="AK332" t="s">
        <v>202</v>
      </c>
      <c r="AL332" t="s">
        <v>203</v>
      </c>
      <c r="AM332" t="str">
        <f t="shared" si="16"/>
        <v>2018-2020</v>
      </c>
      <c r="AN332">
        <f t="shared" si="17"/>
        <v>2</v>
      </c>
    </row>
    <row r="333" spans="1:40" x14ac:dyDescent="0.2">
      <c r="A333">
        <v>332</v>
      </c>
      <c r="B333" t="s">
        <v>1149</v>
      </c>
      <c r="C333" t="s">
        <v>1718</v>
      </c>
      <c r="D333" t="s">
        <v>72</v>
      </c>
      <c r="E333" t="s">
        <v>68</v>
      </c>
      <c r="F333" t="s">
        <v>386</v>
      </c>
      <c r="G333">
        <v>315</v>
      </c>
      <c r="H333">
        <v>118.4097852150001</v>
      </c>
      <c r="I333" t="s">
        <v>385</v>
      </c>
      <c r="J333">
        <v>213</v>
      </c>
      <c r="K333">
        <v>110.08450241</v>
      </c>
      <c r="L333">
        <v>26</v>
      </c>
      <c r="M333" t="s">
        <v>49</v>
      </c>
      <c r="N333">
        <v>79</v>
      </c>
      <c r="O333">
        <v>379</v>
      </c>
      <c r="P333">
        <v>3040</v>
      </c>
      <c r="Q333">
        <v>156</v>
      </c>
      <c r="R333" t="s">
        <v>1143</v>
      </c>
      <c r="S333" s="3">
        <v>4</v>
      </c>
      <c r="T333" s="3">
        <f t="shared" si="15"/>
        <v>1</v>
      </c>
      <c r="U333" t="s">
        <v>96</v>
      </c>
      <c r="V333" t="s">
        <v>142</v>
      </c>
      <c r="W333" t="s">
        <v>95</v>
      </c>
      <c r="X333">
        <v>0</v>
      </c>
      <c r="Y333" t="s">
        <v>41</v>
      </c>
      <c r="Z333" t="s">
        <v>92</v>
      </c>
      <c r="AA333" t="s">
        <v>191</v>
      </c>
      <c r="AB333" t="s">
        <v>457</v>
      </c>
      <c r="AC333">
        <v>2</v>
      </c>
      <c r="AD333">
        <v>1</v>
      </c>
      <c r="AE333">
        <v>1</v>
      </c>
      <c r="AF333">
        <v>0</v>
      </c>
      <c r="AG333">
        <v>0</v>
      </c>
      <c r="AH333">
        <v>0</v>
      </c>
      <c r="AI333">
        <v>0</v>
      </c>
      <c r="AJ333" t="s">
        <v>1150</v>
      </c>
      <c r="AK333" t="s">
        <v>74</v>
      </c>
      <c r="AL333" t="s">
        <v>75</v>
      </c>
      <c r="AM333" t="str">
        <f t="shared" si="16"/>
        <v>2014-2018</v>
      </c>
      <c r="AN333">
        <f t="shared" si="17"/>
        <v>4</v>
      </c>
    </row>
    <row r="334" spans="1:40" x14ac:dyDescent="0.2">
      <c r="A334">
        <v>333</v>
      </c>
      <c r="B334" t="s">
        <v>1151</v>
      </c>
      <c r="C334" t="s">
        <v>1718</v>
      </c>
      <c r="D334" t="s">
        <v>186</v>
      </c>
      <c r="E334" t="s">
        <v>98</v>
      </c>
      <c r="F334" t="s">
        <v>99</v>
      </c>
      <c r="G334">
        <v>18</v>
      </c>
      <c r="H334">
        <v>6.6279992600000002</v>
      </c>
      <c r="I334" t="s">
        <v>88</v>
      </c>
      <c r="J334">
        <v>14</v>
      </c>
      <c r="K334">
        <v>7.0186821899999989</v>
      </c>
      <c r="L334">
        <v>3</v>
      </c>
      <c r="M334" t="s">
        <v>97</v>
      </c>
      <c r="N334">
        <v>0</v>
      </c>
      <c r="O334">
        <v>23</v>
      </c>
      <c r="P334">
        <v>29</v>
      </c>
      <c r="Q334">
        <v>157</v>
      </c>
      <c r="R334" t="s">
        <v>1153</v>
      </c>
      <c r="S334" s="3" t="s">
        <v>90</v>
      </c>
      <c r="T334" s="3">
        <f t="shared" si="15"/>
        <v>1</v>
      </c>
      <c r="U334" t="s">
        <v>96</v>
      </c>
      <c r="V334" t="s">
        <v>142</v>
      </c>
      <c r="W334" t="s">
        <v>95</v>
      </c>
      <c r="X334">
        <v>0</v>
      </c>
      <c r="Y334" t="s">
        <v>41</v>
      </c>
      <c r="Z334" t="s">
        <v>92</v>
      </c>
      <c r="AA334" t="s">
        <v>224</v>
      </c>
      <c r="AB334" t="s">
        <v>225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 t="s">
        <v>1152</v>
      </c>
      <c r="AK334" t="s">
        <v>65</v>
      </c>
      <c r="AL334" t="s">
        <v>66</v>
      </c>
      <c r="AM334" t="str">
        <f t="shared" si="16"/>
        <v>2024-2027</v>
      </c>
      <c r="AN334">
        <f t="shared" si="17"/>
        <v>3</v>
      </c>
    </row>
    <row r="335" spans="1:40" x14ac:dyDescent="0.2">
      <c r="A335">
        <v>334</v>
      </c>
      <c r="B335" t="s">
        <v>1154</v>
      </c>
      <c r="C335" t="s">
        <v>1717</v>
      </c>
      <c r="D335" t="s">
        <v>394</v>
      </c>
      <c r="E335" t="s">
        <v>98</v>
      </c>
      <c r="F335" t="s">
        <v>99</v>
      </c>
      <c r="G335">
        <v>3</v>
      </c>
      <c r="H335">
        <v>1.2368127600000001</v>
      </c>
      <c r="I335" t="s">
        <v>88</v>
      </c>
      <c r="J335">
        <v>2</v>
      </c>
      <c r="K335">
        <v>1.53292673</v>
      </c>
      <c r="L335">
        <v>0</v>
      </c>
      <c r="M335" t="s">
        <v>137</v>
      </c>
      <c r="N335">
        <v>0</v>
      </c>
      <c r="O335">
        <v>3</v>
      </c>
      <c r="P335">
        <v>0</v>
      </c>
      <c r="Q335">
        <v>158</v>
      </c>
      <c r="R335" t="s">
        <v>1156</v>
      </c>
      <c r="S335" s="3" t="s">
        <v>90</v>
      </c>
      <c r="T335" s="3">
        <f t="shared" si="15"/>
        <v>1</v>
      </c>
      <c r="U335" t="s">
        <v>96</v>
      </c>
      <c r="V335" t="s">
        <v>142</v>
      </c>
      <c r="W335" t="s">
        <v>95</v>
      </c>
      <c r="X335">
        <v>0</v>
      </c>
      <c r="Y335" t="s">
        <v>41</v>
      </c>
      <c r="Z335" t="s">
        <v>92</v>
      </c>
      <c r="AA335" t="s">
        <v>224</v>
      </c>
      <c r="AB335" t="s">
        <v>225</v>
      </c>
      <c r="AC335">
        <v>1</v>
      </c>
      <c r="AD335">
        <v>0</v>
      </c>
      <c r="AE335">
        <v>0</v>
      </c>
      <c r="AF335">
        <v>1</v>
      </c>
      <c r="AG335">
        <v>0</v>
      </c>
      <c r="AH335">
        <v>0</v>
      </c>
      <c r="AI335">
        <v>0</v>
      </c>
      <c r="AJ335" t="s">
        <v>1155</v>
      </c>
      <c r="AK335" t="s">
        <v>202</v>
      </c>
      <c r="AL335" t="s">
        <v>203</v>
      </c>
      <c r="AM335" t="str">
        <f t="shared" si="16"/>
        <v>2018-2020</v>
      </c>
      <c r="AN335">
        <f t="shared" si="17"/>
        <v>2</v>
      </c>
    </row>
    <row r="336" spans="1:40" x14ac:dyDescent="0.2">
      <c r="A336">
        <v>335</v>
      </c>
      <c r="B336" t="s">
        <v>1157</v>
      </c>
      <c r="C336" t="s">
        <v>1717</v>
      </c>
      <c r="D336" t="s">
        <v>248</v>
      </c>
      <c r="E336" t="s">
        <v>104</v>
      </c>
      <c r="F336" t="s">
        <v>425</v>
      </c>
      <c r="G336">
        <v>85</v>
      </c>
      <c r="H336">
        <v>30.071787206</v>
      </c>
      <c r="I336" t="s">
        <v>424</v>
      </c>
      <c r="J336">
        <v>35</v>
      </c>
      <c r="K336">
        <v>10.580207290000001</v>
      </c>
      <c r="L336">
        <v>12</v>
      </c>
      <c r="M336" t="s">
        <v>67</v>
      </c>
      <c r="N336">
        <v>15</v>
      </c>
      <c r="O336">
        <v>345</v>
      </c>
      <c r="P336">
        <v>615</v>
      </c>
      <c r="Q336">
        <v>158</v>
      </c>
      <c r="R336" t="s">
        <v>1156</v>
      </c>
      <c r="S336" s="3" t="s">
        <v>90</v>
      </c>
      <c r="T336" s="3">
        <f t="shared" si="15"/>
        <v>1</v>
      </c>
      <c r="U336" t="s">
        <v>96</v>
      </c>
      <c r="V336" t="s">
        <v>142</v>
      </c>
      <c r="W336" t="s">
        <v>95</v>
      </c>
      <c r="X336">
        <v>0</v>
      </c>
      <c r="Y336" t="s">
        <v>41</v>
      </c>
      <c r="Z336" t="s">
        <v>92</v>
      </c>
      <c r="AA336" t="s">
        <v>224</v>
      </c>
      <c r="AB336" t="s">
        <v>225</v>
      </c>
      <c r="AC336">
        <v>1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 t="s">
        <v>1158</v>
      </c>
      <c r="AK336" t="s">
        <v>320</v>
      </c>
      <c r="AL336" t="s">
        <v>321</v>
      </c>
      <c r="AM336" t="str">
        <f t="shared" si="16"/>
        <v>2016-2018</v>
      </c>
      <c r="AN336">
        <f t="shared" si="17"/>
        <v>2</v>
      </c>
    </row>
    <row r="337" spans="1:40" x14ac:dyDescent="0.2">
      <c r="A337">
        <v>336</v>
      </c>
      <c r="B337" t="s">
        <v>1159</v>
      </c>
      <c r="C337" t="s">
        <v>1717</v>
      </c>
      <c r="D337" t="s">
        <v>248</v>
      </c>
      <c r="E337" t="s">
        <v>68</v>
      </c>
      <c r="F337" t="s">
        <v>362</v>
      </c>
      <c r="G337">
        <v>61</v>
      </c>
      <c r="H337">
        <v>29.774614020000001</v>
      </c>
      <c r="I337" t="s">
        <v>357</v>
      </c>
      <c r="J337">
        <v>52</v>
      </c>
      <c r="K337">
        <v>18.18535597</v>
      </c>
      <c r="L337">
        <v>27</v>
      </c>
      <c r="M337" t="s">
        <v>49</v>
      </c>
      <c r="N337">
        <v>47</v>
      </c>
      <c r="O337">
        <v>100</v>
      </c>
      <c r="P337">
        <v>2905</v>
      </c>
      <c r="Q337">
        <v>159</v>
      </c>
      <c r="R337" t="s">
        <v>1161</v>
      </c>
      <c r="S337" s="3" t="s">
        <v>90</v>
      </c>
      <c r="T337" s="3">
        <f t="shared" si="15"/>
        <v>1</v>
      </c>
      <c r="U337" t="s">
        <v>96</v>
      </c>
      <c r="V337" t="s">
        <v>142</v>
      </c>
      <c r="W337" t="s">
        <v>95</v>
      </c>
      <c r="X337">
        <v>0</v>
      </c>
      <c r="Y337" t="s">
        <v>41</v>
      </c>
      <c r="Z337" t="s">
        <v>92</v>
      </c>
      <c r="AA337" t="s">
        <v>63</v>
      </c>
      <c r="AB337" t="s">
        <v>412</v>
      </c>
      <c r="AC337">
        <v>3</v>
      </c>
      <c r="AD337">
        <v>0</v>
      </c>
      <c r="AE337">
        <v>0</v>
      </c>
      <c r="AF337">
        <v>1</v>
      </c>
      <c r="AG337">
        <v>1</v>
      </c>
      <c r="AH337">
        <v>1</v>
      </c>
      <c r="AI337">
        <v>0</v>
      </c>
      <c r="AJ337" t="s">
        <v>1160</v>
      </c>
      <c r="AK337" t="s">
        <v>327</v>
      </c>
      <c r="AL337" t="s">
        <v>328</v>
      </c>
      <c r="AM337" t="str">
        <f t="shared" si="16"/>
        <v>2018-2024</v>
      </c>
      <c r="AN337">
        <f t="shared" si="17"/>
        <v>6</v>
      </c>
    </row>
    <row r="338" spans="1:40" x14ac:dyDescent="0.2">
      <c r="A338">
        <v>337</v>
      </c>
      <c r="B338" t="s">
        <v>1162</v>
      </c>
      <c r="C338" t="s">
        <v>1718</v>
      </c>
      <c r="D338" t="s">
        <v>60</v>
      </c>
      <c r="E338" t="s">
        <v>150</v>
      </c>
      <c r="F338" t="s">
        <v>151</v>
      </c>
      <c r="G338">
        <v>3</v>
      </c>
      <c r="H338">
        <v>1.2942179199999999</v>
      </c>
      <c r="I338" t="s">
        <v>140</v>
      </c>
      <c r="J338">
        <v>2</v>
      </c>
      <c r="K338">
        <v>0.41082249999999998</v>
      </c>
      <c r="L338">
        <v>3</v>
      </c>
      <c r="M338" t="s">
        <v>97</v>
      </c>
      <c r="N338">
        <v>1</v>
      </c>
      <c r="O338">
        <v>4</v>
      </c>
      <c r="P338">
        <v>38</v>
      </c>
      <c r="Q338">
        <v>159</v>
      </c>
      <c r="R338" t="s">
        <v>1161</v>
      </c>
      <c r="S338" s="3" t="s">
        <v>90</v>
      </c>
      <c r="T338" s="3">
        <f t="shared" si="15"/>
        <v>1</v>
      </c>
      <c r="U338" t="s">
        <v>96</v>
      </c>
      <c r="V338" t="s">
        <v>142</v>
      </c>
      <c r="W338" t="s">
        <v>95</v>
      </c>
      <c r="X338">
        <v>0</v>
      </c>
      <c r="Y338" t="s">
        <v>41</v>
      </c>
      <c r="Z338" t="s">
        <v>92</v>
      </c>
      <c r="AA338" t="s">
        <v>63</v>
      </c>
      <c r="AB338" t="s">
        <v>412</v>
      </c>
      <c r="AC338">
        <v>2</v>
      </c>
      <c r="AD338">
        <v>1</v>
      </c>
      <c r="AE338">
        <v>1</v>
      </c>
      <c r="AF338">
        <v>0</v>
      </c>
      <c r="AG338">
        <v>0</v>
      </c>
      <c r="AH338">
        <v>0</v>
      </c>
      <c r="AI338">
        <v>0</v>
      </c>
      <c r="AJ338" t="s">
        <v>1163</v>
      </c>
      <c r="AK338" t="s">
        <v>74</v>
      </c>
      <c r="AL338" t="s">
        <v>75</v>
      </c>
      <c r="AM338" t="str">
        <f t="shared" si="16"/>
        <v>2014-2018</v>
      </c>
      <c r="AN338">
        <f t="shared" si="17"/>
        <v>4</v>
      </c>
    </row>
    <row r="339" spans="1:40" x14ac:dyDescent="0.2">
      <c r="A339">
        <v>338</v>
      </c>
      <c r="B339" t="s">
        <v>1164</v>
      </c>
      <c r="C339" t="s">
        <v>1718</v>
      </c>
      <c r="D339" t="s">
        <v>186</v>
      </c>
      <c r="E339" t="s">
        <v>98</v>
      </c>
      <c r="F339" t="s">
        <v>99</v>
      </c>
      <c r="G339">
        <v>1</v>
      </c>
      <c r="H339">
        <v>0.56563030000000003</v>
      </c>
      <c r="I339" t="s">
        <v>88</v>
      </c>
      <c r="J339">
        <v>1</v>
      </c>
      <c r="K339">
        <v>0.58720609999999995</v>
      </c>
      <c r="L339">
        <v>0</v>
      </c>
      <c r="M339" t="s">
        <v>137</v>
      </c>
      <c r="N339">
        <v>0</v>
      </c>
      <c r="O339">
        <v>2</v>
      </c>
      <c r="P339">
        <v>0</v>
      </c>
      <c r="Q339">
        <v>159</v>
      </c>
      <c r="R339" t="s">
        <v>1161</v>
      </c>
      <c r="S339" s="3" t="s">
        <v>90</v>
      </c>
      <c r="T339" s="3">
        <f t="shared" si="15"/>
        <v>1</v>
      </c>
      <c r="U339" t="s">
        <v>96</v>
      </c>
      <c r="V339" t="s">
        <v>142</v>
      </c>
      <c r="W339" t="s">
        <v>95</v>
      </c>
      <c r="X339">
        <v>0</v>
      </c>
      <c r="Y339" t="s">
        <v>41</v>
      </c>
      <c r="Z339" t="s">
        <v>92</v>
      </c>
      <c r="AA339" t="s">
        <v>63</v>
      </c>
      <c r="AB339" t="s">
        <v>412</v>
      </c>
      <c r="AC339">
        <v>2</v>
      </c>
      <c r="AD339">
        <v>0</v>
      </c>
      <c r="AE339">
        <v>0</v>
      </c>
      <c r="AF339">
        <v>1</v>
      </c>
      <c r="AG339">
        <v>1</v>
      </c>
      <c r="AH339">
        <v>0</v>
      </c>
      <c r="AI339">
        <v>0</v>
      </c>
      <c r="AJ339" t="s">
        <v>1165</v>
      </c>
      <c r="AK339" t="s">
        <v>193</v>
      </c>
      <c r="AL339" t="s">
        <v>194</v>
      </c>
      <c r="AM339" t="str">
        <f t="shared" si="16"/>
        <v>2018-2021</v>
      </c>
      <c r="AN339">
        <f t="shared" si="17"/>
        <v>3</v>
      </c>
    </row>
    <row r="340" spans="1:40" x14ac:dyDescent="0.2">
      <c r="A340">
        <v>339</v>
      </c>
      <c r="B340" t="s">
        <v>1166</v>
      </c>
      <c r="C340" t="s">
        <v>1718</v>
      </c>
      <c r="D340" t="s">
        <v>72</v>
      </c>
      <c r="E340" t="s">
        <v>50</v>
      </c>
      <c r="F340" t="s">
        <v>76</v>
      </c>
      <c r="G340">
        <v>64</v>
      </c>
      <c r="H340">
        <v>21.317569590000009</v>
      </c>
      <c r="I340" t="s">
        <v>73</v>
      </c>
      <c r="J340">
        <v>48</v>
      </c>
      <c r="K340">
        <v>7.9429655100000014</v>
      </c>
      <c r="L340">
        <v>20</v>
      </c>
      <c r="M340" t="s">
        <v>67</v>
      </c>
      <c r="N340">
        <v>39</v>
      </c>
      <c r="O340">
        <v>88</v>
      </c>
      <c r="P340">
        <v>1465</v>
      </c>
      <c r="Q340">
        <v>159</v>
      </c>
      <c r="R340" t="s">
        <v>1161</v>
      </c>
      <c r="S340" s="3" t="s">
        <v>90</v>
      </c>
      <c r="T340" s="3">
        <f t="shared" si="15"/>
        <v>1</v>
      </c>
      <c r="U340" t="s">
        <v>96</v>
      </c>
      <c r="V340" t="s">
        <v>142</v>
      </c>
      <c r="W340" t="s">
        <v>95</v>
      </c>
      <c r="X340">
        <v>0</v>
      </c>
      <c r="Y340" t="s">
        <v>41</v>
      </c>
      <c r="Z340" t="s">
        <v>92</v>
      </c>
      <c r="AA340" t="s">
        <v>63</v>
      </c>
      <c r="AB340" t="s">
        <v>412</v>
      </c>
      <c r="AC340">
        <v>2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1</v>
      </c>
      <c r="AJ340" t="s">
        <v>1167</v>
      </c>
      <c r="AK340" t="s">
        <v>55</v>
      </c>
      <c r="AL340" t="s">
        <v>56</v>
      </c>
      <c r="AM340" t="str">
        <f t="shared" si="16"/>
        <v>2022-2027</v>
      </c>
      <c r="AN340">
        <f t="shared" si="17"/>
        <v>5</v>
      </c>
    </row>
    <row r="341" spans="1:40" x14ac:dyDescent="0.2">
      <c r="A341">
        <v>340</v>
      </c>
      <c r="B341" t="s">
        <v>1168</v>
      </c>
      <c r="C341" t="s">
        <v>1718</v>
      </c>
      <c r="D341" t="s">
        <v>114</v>
      </c>
      <c r="E341" t="s">
        <v>50</v>
      </c>
      <c r="F341" t="s">
        <v>76</v>
      </c>
      <c r="G341">
        <v>94</v>
      </c>
      <c r="H341">
        <v>48.627964069999997</v>
      </c>
      <c r="I341" t="s">
        <v>73</v>
      </c>
      <c r="J341">
        <v>67</v>
      </c>
      <c r="K341">
        <v>13.287573426</v>
      </c>
      <c r="L341">
        <v>25</v>
      </c>
      <c r="M341" t="s">
        <v>49</v>
      </c>
      <c r="N341">
        <v>58</v>
      </c>
      <c r="O341">
        <v>127</v>
      </c>
      <c r="P341">
        <v>2052</v>
      </c>
      <c r="Q341">
        <v>160</v>
      </c>
      <c r="R341" t="s">
        <v>1170</v>
      </c>
      <c r="S341" s="3" t="s">
        <v>90</v>
      </c>
      <c r="T341" s="3">
        <f t="shared" si="15"/>
        <v>1</v>
      </c>
      <c r="U341" t="s">
        <v>96</v>
      </c>
      <c r="V341" t="s">
        <v>142</v>
      </c>
      <c r="W341" t="s">
        <v>95</v>
      </c>
      <c r="X341">
        <v>0</v>
      </c>
      <c r="Y341" t="s">
        <v>41</v>
      </c>
      <c r="Z341" t="s">
        <v>92</v>
      </c>
      <c r="AA341" t="s">
        <v>63</v>
      </c>
      <c r="AB341" t="s">
        <v>145</v>
      </c>
      <c r="AC341">
        <v>3</v>
      </c>
      <c r="AD341">
        <v>0</v>
      </c>
      <c r="AE341">
        <v>0</v>
      </c>
      <c r="AF341">
        <v>0</v>
      </c>
      <c r="AG341">
        <v>1</v>
      </c>
      <c r="AH341">
        <v>1</v>
      </c>
      <c r="AI341">
        <v>1</v>
      </c>
      <c r="AJ341" t="s">
        <v>1169</v>
      </c>
      <c r="AK341" t="s">
        <v>269</v>
      </c>
      <c r="AL341" t="s">
        <v>270</v>
      </c>
      <c r="AM341" t="str">
        <f t="shared" si="16"/>
        <v>2020-2027</v>
      </c>
      <c r="AN341">
        <f t="shared" si="17"/>
        <v>7</v>
      </c>
    </row>
    <row r="342" spans="1:40" x14ac:dyDescent="0.2">
      <c r="A342">
        <v>341</v>
      </c>
      <c r="B342" t="s">
        <v>1171</v>
      </c>
      <c r="C342" t="s">
        <v>1717</v>
      </c>
      <c r="D342" t="s">
        <v>123</v>
      </c>
      <c r="E342" t="s">
        <v>104</v>
      </c>
      <c r="F342" t="s">
        <v>1174</v>
      </c>
      <c r="G342">
        <v>13</v>
      </c>
      <c r="H342">
        <v>9.1849422599999997</v>
      </c>
      <c r="I342" t="s">
        <v>1173</v>
      </c>
      <c r="J342">
        <v>8</v>
      </c>
      <c r="K342">
        <v>3.6908325999999998</v>
      </c>
      <c r="L342">
        <v>6</v>
      </c>
      <c r="M342" t="s">
        <v>119</v>
      </c>
      <c r="N342">
        <v>3</v>
      </c>
      <c r="O342">
        <v>14</v>
      </c>
      <c r="P342">
        <v>114</v>
      </c>
      <c r="Q342">
        <v>160</v>
      </c>
      <c r="R342" t="s">
        <v>1170</v>
      </c>
      <c r="S342" s="3" t="s">
        <v>90</v>
      </c>
      <c r="T342" s="3">
        <f t="shared" si="15"/>
        <v>1</v>
      </c>
      <c r="U342" t="s">
        <v>96</v>
      </c>
      <c r="V342" t="s">
        <v>142</v>
      </c>
      <c r="W342" t="s">
        <v>95</v>
      </c>
      <c r="X342">
        <v>0</v>
      </c>
      <c r="Y342" t="s">
        <v>41</v>
      </c>
      <c r="Z342" t="s">
        <v>92</v>
      </c>
      <c r="AA342" t="s">
        <v>63</v>
      </c>
      <c r="AB342" t="s">
        <v>145</v>
      </c>
      <c r="AC342">
        <v>2</v>
      </c>
      <c r="AD342">
        <v>0</v>
      </c>
      <c r="AE342">
        <v>1</v>
      </c>
      <c r="AF342">
        <v>1</v>
      </c>
      <c r="AG342">
        <v>0</v>
      </c>
      <c r="AH342">
        <v>0</v>
      </c>
      <c r="AI342">
        <v>0</v>
      </c>
      <c r="AJ342" t="s">
        <v>1172</v>
      </c>
      <c r="AK342" t="s">
        <v>156</v>
      </c>
      <c r="AL342" t="s">
        <v>157</v>
      </c>
      <c r="AM342" t="str">
        <f t="shared" si="16"/>
        <v>2016-2020</v>
      </c>
      <c r="AN342">
        <f t="shared" si="17"/>
        <v>4</v>
      </c>
    </row>
    <row r="343" spans="1:40" x14ac:dyDescent="0.2">
      <c r="A343">
        <v>342</v>
      </c>
      <c r="B343" t="s">
        <v>1175</v>
      </c>
      <c r="C343" t="s">
        <v>1717</v>
      </c>
      <c r="D343" t="s">
        <v>79</v>
      </c>
      <c r="E343" t="s">
        <v>68</v>
      </c>
      <c r="F343" t="s">
        <v>158</v>
      </c>
      <c r="G343">
        <v>289</v>
      </c>
      <c r="H343">
        <v>164.52144304999979</v>
      </c>
      <c r="I343" t="s">
        <v>155</v>
      </c>
      <c r="J343">
        <v>202</v>
      </c>
      <c r="K343">
        <v>51.480394513999997</v>
      </c>
      <c r="L343">
        <v>34</v>
      </c>
      <c r="M343" t="s">
        <v>49</v>
      </c>
      <c r="N343">
        <v>152</v>
      </c>
      <c r="O343">
        <v>313</v>
      </c>
      <c r="P343">
        <v>5788</v>
      </c>
      <c r="Q343">
        <v>160</v>
      </c>
      <c r="R343" t="s">
        <v>1170</v>
      </c>
      <c r="S343" s="3" t="s">
        <v>90</v>
      </c>
      <c r="T343" s="3">
        <f t="shared" si="15"/>
        <v>1</v>
      </c>
      <c r="U343" t="s">
        <v>96</v>
      </c>
      <c r="V343" t="s">
        <v>142</v>
      </c>
      <c r="W343" t="s">
        <v>95</v>
      </c>
      <c r="X343">
        <v>0</v>
      </c>
      <c r="Y343" t="s">
        <v>41</v>
      </c>
      <c r="Z343" t="s">
        <v>92</v>
      </c>
      <c r="AA343" t="s">
        <v>63</v>
      </c>
      <c r="AB343" t="s">
        <v>145</v>
      </c>
      <c r="AC343">
        <v>2</v>
      </c>
      <c r="AD343">
        <v>1</v>
      </c>
      <c r="AE343">
        <v>1</v>
      </c>
      <c r="AF343">
        <v>0</v>
      </c>
      <c r="AG343">
        <v>0</v>
      </c>
      <c r="AH343">
        <v>0</v>
      </c>
      <c r="AI343">
        <v>0</v>
      </c>
      <c r="AJ343" t="s">
        <v>1176</v>
      </c>
      <c r="AK343" t="s">
        <v>74</v>
      </c>
      <c r="AL343" t="s">
        <v>75</v>
      </c>
      <c r="AM343" t="str">
        <f t="shared" si="16"/>
        <v>2014-2018</v>
      </c>
      <c r="AN343">
        <f t="shared" si="17"/>
        <v>4</v>
      </c>
    </row>
    <row r="344" spans="1:40" x14ac:dyDescent="0.2">
      <c r="A344">
        <v>343</v>
      </c>
      <c r="B344" t="s">
        <v>1177</v>
      </c>
      <c r="C344" t="s">
        <v>1717</v>
      </c>
      <c r="D344" t="s">
        <v>79</v>
      </c>
      <c r="E344" t="s">
        <v>68</v>
      </c>
      <c r="F344" t="s">
        <v>158</v>
      </c>
      <c r="G344">
        <v>27</v>
      </c>
      <c r="H344">
        <v>15.812202579999999</v>
      </c>
      <c r="I344" t="s">
        <v>155</v>
      </c>
      <c r="J344">
        <v>23</v>
      </c>
      <c r="K344">
        <v>9.2117211700000006</v>
      </c>
      <c r="L344">
        <v>13</v>
      </c>
      <c r="M344" t="s">
        <v>67</v>
      </c>
      <c r="N344">
        <v>13</v>
      </c>
      <c r="O344">
        <v>36</v>
      </c>
      <c r="P344">
        <v>814</v>
      </c>
      <c r="Q344">
        <v>160</v>
      </c>
      <c r="R344" t="s">
        <v>1170</v>
      </c>
      <c r="S344" s="3" t="s">
        <v>90</v>
      </c>
      <c r="T344" s="3">
        <f t="shared" si="15"/>
        <v>1</v>
      </c>
      <c r="U344" t="s">
        <v>96</v>
      </c>
      <c r="V344" t="s">
        <v>142</v>
      </c>
      <c r="W344" t="s">
        <v>95</v>
      </c>
      <c r="X344">
        <v>0</v>
      </c>
      <c r="Y344" t="s">
        <v>41</v>
      </c>
      <c r="Z344" t="s">
        <v>92</v>
      </c>
      <c r="AA344" t="s">
        <v>63</v>
      </c>
      <c r="AB344" t="s">
        <v>145</v>
      </c>
      <c r="AC344">
        <v>2</v>
      </c>
      <c r="AD344">
        <v>1</v>
      </c>
      <c r="AE344">
        <v>1</v>
      </c>
      <c r="AF344">
        <v>0</v>
      </c>
      <c r="AG344">
        <v>0</v>
      </c>
      <c r="AH344">
        <v>0</v>
      </c>
      <c r="AI344">
        <v>0</v>
      </c>
      <c r="AJ344" t="s">
        <v>1178</v>
      </c>
      <c r="AK344" t="s">
        <v>82</v>
      </c>
      <c r="AL344" t="s">
        <v>83</v>
      </c>
      <c r="AM344" t="str">
        <f t="shared" si="16"/>
        <v>2014-2016</v>
      </c>
      <c r="AN344">
        <f t="shared" si="17"/>
        <v>2</v>
      </c>
    </row>
    <row r="345" spans="1:40" x14ac:dyDescent="0.2">
      <c r="A345">
        <v>344</v>
      </c>
      <c r="B345" t="s">
        <v>1179</v>
      </c>
      <c r="C345" t="s">
        <v>1717</v>
      </c>
      <c r="D345" t="s">
        <v>114</v>
      </c>
      <c r="E345" t="s">
        <v>50</v>
      </c>
      <c r="F345" t="s">
        <v>76</v>
      </c>
      <c r="G345">
        <v>76</v>
      </c>
      <c r="H345">
        <v>44.301072480000002</v>
      </c>
      <c r="I345" t="s">
        <v>73</v>
      </c>
      <c r="J345">
        <v>59</v>
      </c>
      <c r="K345">
        <v>12.844083499</v>
      </c>
      <c r="L345">
        <v>30</v>
      </c>
      <c r="M345" t="s">
        <v>49</v>
      </c>
      <c r="N345">
        <v>51</v>
      </c>
      <c r="O345">
        <v>119</v>
      </c>
      <c r="P345">
        <v>4152</v>
      </c>
      <c r="Q345">
        <v>161</v>
      </c>
      <c r="R345" t="s">
        <v>1181</v>
      </c>
      <c r="S345" s="3" t="s">
        <v>90</v>
      </c>
      <c r="T345" s="3">
        <f t="shared" si="15"/>
        <v>1</v>
      </c>
      <c r="U345" t="s">
        <v>96</v>
      </c>
      <c r="V345" t="s">
        <v>142</v>
      </c>
      <c r="W345" t="s">
        <v>95</v>
      </c>
      <c r="X345">
        <v>0</v>
      </c>
      <c r="Y345" t="s">
        <v>41</v>
      </c>
      <c r="Z345" t="s">
        <v>92</v>
      </c>
      <c r="AA345" t="s">
        <v>43</v>
      </c>
      <c r="AB345" t="s">
        <v>118</v>
      </c>
      <c r="AC345">
        <v>2</v>
      </c>
      <c r="AD345">
        <v>1</v>
      </c>
      <c r="AE345">
        <v>1</v>
      </c>
      <c r="AF345">
        <v>0</v>
      </c>
      <c r="AG345">
        <v>0</v>
      </c>
      <c r="AH345">
        <v>0</v>
      </c>
      <c r="AI345">
        <v>0</v>
      </c>
      <c r="AJ345" t="s">
        <v>1180</v>
      </c>
      <c r="AK345" t="s">
        <v>82</v>
      </c>
      <c r="AL345" t="s">
        <v>83</v>
      </c>
      <c r="AM345" t="str">
        <f t="shared" si="16"/>
        <v>2014-2016</v>
      </c>
      <c r="AN345">
        <f t="shared" si="17"/>
        <v>2</v>
      </c>
    </row>
    <row r="346" spans="1:40" x14ac:dyDescent="0.2">
      <c r="A346">
        <v>345</v>
      </c>
      <c r="B346" t="s">
        <v>1182</v>
      </c>
      <c r="C346" t="s">
        <v>1718</v>
      </c>
      <c r="D346" t="s">
        <v>114</v>
      </c>
      <c r="E346" t="s">
        <v>68</v>
      </c>
      <c r="F346" t="s">
        <v>313</v>
      </c>
      <c r="G346">
        <v>25</v>
      </c>
      <c r="H346">
        <v>15.81548376000001</v>
      </c>
      <c r="I346" t="s">
        <v>311</v>
      </c>
      <c r="J346">
        <v>21</v>
      </c>
      <c r="K346">
        <v>9.4888748500000002</v>
      </c>
      <c r="L346">
        <v>11</v>
      </c>
      <c r="M346" t="s">
        <v>67</v>
      </c>
      <c r="N346">
        <v>12</v>
      </c>
      <c r="O346">
        <v>32</v>
      </c>
      <c r="P346">
        <v>370</v>
      </c>
      <c r="Q346">
        <v>161</v>
      </c>
      <c r="R346" t="s">
        <v>1181</v>
      </c>
      <c r="S346" s="3" t="s">
        <v>90</v>
      </c>
      <c r="T346" s="3">
        <f t="shared" si="15"/>
        <v>1</v>
      </c>
      <c r="U346" t="s">
        <v>96</v>
      </c>
      <c r="V346" t="s">
        <v>142</v>
      </c>
      <c r="W346" t="s">
        <v>95</v>
      </c>
      <c r="X346">
        <v>0</v>
      </c>
      <c r="Y346" t="s">
        <v>41</v>
      </c>
      <c r="Z346" t="s">
        <v>92</v>
      </c>
      <c r="AA346" t="s">
        <v>43</v>
      </c>
      <c r="AB346" t="s">
        <v>118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 t="s">
        <v>1183</v>
      </c>
      <c r="AK346" t="s">
        <v>125</v>
      </c>
      <c r="AL346" t="s">
        <v>126</v>
      </c>
      <c r="AM346" t="str">
        <f t="shared" si="16"/>
        <v>2022-2024</v>
      </c>
      <c r="AN346">
        <f t="shared" si="17"/>
        <v>2</v>
      </c>
    </row>
    <row r="347" spans="1:40" x14ac:dyDescent="0.2">
      <c r="A347">
        <v>346</v>
      </c>
      <c r="B347" t="s">
        <v>1184</v>
      </c>
      <c r="C347" t="s">
        <v>1717</v>
      </c>
      <c r="D347" t="s">
        <v>394</v>
      </c>
      <c r="E347" t="s">
        <v>98</v>
      </c>
      <c r="F347" t="s">
        <v>99</v>
      </c>
      <c r="G347">
        <v>5</v>
      </c>
      <c r="H347">
        <v>2.0812394599999999</v>
      </c>
      <c r="I347" t="s">
        <v>88</v>
      </c>
      <c r="J347">
        <v>7</v>
      </c>
      <c r="K347">
        <v>3.7868014200000011</v>
      </c>
      <c r="L347">
        <v>3</v>
      </c>
      <c r="M347" t="s">
        <v>97</v>
      </c>
      <c r="N347">
        <v>1</v>
      </c>
      <c r="O347">
        <v>13</v>
      </c>
      <c r="P347">
        <v>26</v>
      </c>
      <c r="Q347">
        <v>161</v>
      </c>
      <c r="R347" t="s">
        <v>1181</v>
      </c>
      <c r="S347" s="3" t="s">
        <v>90</v>
      </c>
      <c r="T347" s="3">
        <f t="shared" si="15"/>
        <v>1</v>
      </c>
      <c r="U347" t="s">
        <v>96</v>
      </c>
      <c r="V347" t="s">
        <v>142</v>
      </c>
      <c r="W347" t="s">
        <v>95</v>
      </c>
      <c r="X347">
        <v>0</v>
      </c>
      <c r="Y347" t="s">
        <v>41</v>
      </c>
      <c r="Z347" t="s">
        <v>92</v>
      </c>
      <c r="AA347" t="s">
        <v>43</v>
      </c>
      <c r="AB347" t="s">
        <v>118</v>
      </c>
      <c r="AC347">
        <v>3</v>
      </c>
      <c r="AD347">
        <v>0</v>
      </c>
      <c r="AE347">
        <v>1</v>
      </c>
      <c r="AF347">
        <v>1</v>
      </c>
      <c r="AG347">
        <v>1</v>
      </c>
      <c r="AH347">
        <v>0</v>
      </c>
      <c r="AI347">
        <v>0</v>
      </c>
      <c r="AJ347" t="s">
        <v>1185</v>
      </c>
      <c r="AK347" t="s">
        <v>131</v>
      </c>
      <c r="AL347" t="s">
        <v>132</v>
      </c>
      <c r="AM347" t="str">
        <f t="shared" si="16"/>
        <v>2016-2021</v>
      </c>
      <c r="AN347">
        <f t="shared" si="17"/>
        <v>5</v>
      </c>
    </row>
    <row r="348" spans="1:40" x14ac:dyDescent="0.2">
      <c r="A348">
        <v>347</v>
      </c>
      <c r="B348" t="s">
        <v>1186</v>
      </c>
      <c r="C348" t="s">
        <v>1717</v>
      </c>
      <c r="D348" t="s">
        <v>60</v>
      </c>
      <c r="E348" t="s">
        <v>98</v>
      </c>
      <c r="F348" t="s">
        <v>99</v>
      </c>
      <c r="G348">
        <v>64</v>
      </c>
      <c r="H348">
        <v>28.00820899</v>
      </c>
      <c r="I348" t="s">
        <v>88</v>
      </c>
      <c r="J348">
        <v>55</v>
      </c>
      <c r="K348">
        <v>28.891674689999999</v>
      </c>
      <c r="L348">
        <v>16</v>
      </c>
      <c r="M348" t="s">
        <v>67</v>
      </c>
      <c r="N348">
        <v>25</v>
      </c>
      <c r="O348">
        <v>209</v>
      </c>
      <c r="P348">
        <v>1357</v>
      </c>
      <c r="Q348">
        <v>161</v>
      </c>
      <c r="R348" t="s">
        <v>1181</v>
      </c>
      <c r="S348" s="3" t="s">
        <v>90</v>
      </c>
      <c r="T348" s="3">
        <f t="shared" si="15"/>
        <v>1</v>
      </c>
      <c r="U348" t="s">
        <v>96</v>
      </c>
      <c r="V348" t="s">
        <v>142</v>
      </c>
      <c r="W348" t="s">
        <v>95</v>
      </c>
      <c r="X348">
        <v>0</v>
      </c>
      <c r="Y348" t="s">
        <v>41</v>
      </c>
      <c r="Z348" t="s">
        <v>92</v>
      </c>
      <c r="AA348" t="s">
        <v>43</v>
      </c>
      <c r="AB348" t="s">
        <v>118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 t="s">
        <v>1187</v>
      </c>
      <c r="AK348" t="s">
        <v>65</v>
      </c>
      <c r="AL348" t="s">
        <v>66</v>
      </c>
      <c r="AM348" t="str">
        <f t="shared" si="16"/>
        <v>2024-2027</v>
      </c>
      <c r="AN348">
        <f t="shared" si="17"/>
        <v>3</v>
      </c>
    </row>
    <row r="349" spans="1:40" x14ac:dyDescent="0.2">
      <c r="A349">
        <v>348</v>
      </c>
      <c r="B349" t="s">
        <v>1188</v>
      </c>
      <c r="C349" t="s">
        <v>1718</v>
      </c>
      <c r="D349" t="s">
        <v>394</v>
      </c>
      <c r="E349" t="s">
        <v>98</v>
      </c>
      <c r="F349" t="s">
        <v>99</v>
      </c>
      <c r="G349">
        <v>9</v>
      </c>
      <c r="H349">
        <v>3.5655474699999998</v>
      </c>
      <c r="I349" t="s">
        <v>88</v>
      </c>
      <c r="J349">
        <v>11</v>
      </c>
      <c r="K349">
        <v>7.5143974399999998</v>
      </c>
      <c r="L349">
        <v>1</v>
      </c>
      <c r="M349" t="s">
        <v>137</v>
      </c>
      <c r="N349">
        <v>0</v>
      </c>
      <c r="O349">
        <v>19</v>
      </c>
      <c r="P349">
        <v>2</v>
      </c>
      <c r="Q349">
        <v>162</v>
      </c>
      <c r="R349" t="s">
        <v>1190</v>
      </c>
      <c r="S349" s="3" t="s">
        <v>90</v>
      </c>
      <c r="T349" s="3">
        <f t="shared" si="15"/>
        <v>1</v>
      </c>
      <c r="U349" t="s">
        <v>96</v>
      </c>
      <c r="V349" t="s">
        <v>142</v>
      </c>
      <c r="W349" t="s">
        <v>95</v>
      </c>
      <c r="X349">
        <v>0</v>
      </c>
      <c r="Y349" t="s">
        <v>41</v>
      </c>
      <c r="Z349" t="s">
        <v>92</v>
      </c>
      <c r="AA349" t="s">
        <v>63</v>
      </c>
      <c r="AB349" t="s">
        <v>412</v>
      </c>
      <c r="AC349">
        <v>2</v>
      </c>
      <c r="AD349">
        <v>1</v>
      </c>
      <c r="AE349">
        <v>1</v>
      </c>
      <c r="AF349">
        <v>0</v>
      </c>
      <c r="AG349">
        <v>0</v>
      </c>
      <c r="AH349">
        <v>0</v>
      </c>
      <c r="AI349">
        <v>0</v>
      </c>
      <c r="AJ349" t="s">
        <v>1189</v>
      </c>
      <c r="AK349" t="s">
        <v>74</v>
      </c>
      <c r="AL349" t="s">
        <v>75</v>
      </c>
      <c r="AM349" t="str">
        <f t="shared" si="16"/>
        <v>2014-2018</v>
      </c>
      <c r="AN349">
        <f t="shared" si="17"/>
        <v>4</v>
      </c>
    </row>
    <row r="350" spans="1:40" x14ac:dyDescent="0.2">
      <c r="A350">
        <v>349</v>
      </c>
      <c r="B350" t="s">
        <v>1191</v>
      </c>
      <c r="C350" t="s">
        <v>1717</v>
      </c>
      <c r="D350" t="s">
        <v>123</v>
      </c>
      <c r="E350" t="s">
        <v>68</v>
      </c>
      <c r="F350" t="s">
        <v>509</v>
      </c>
      <c r="G350">
        <v>32</v>
      </c>
      <c r="H350">
        <v>15.376970829999999</v>
      </c>
      <c r="I350" t="s">
        <v>507</v>
      </c>
      <c r="J350">
        <v>14</v>
      </c>
      <c r="K350">
        <v>1.96513172</v>
      </c>
      <c r="L350">
        <v>8</v>
      </c>
      <c r="M350" t="s">
        <v>119</v>
      </c>
      <c r="N350">
        <v>8</v>
      </c>
      <c r="O350">
        <v>43</v>
      </c>
      <c r="P350">
        <v>362</v>
      </c>
      <c r="Q350">
        <v>162</v>
      </c>
      <c r="R350" t="s">
        <v>1190</v>
      </c>
      <c r="S350" s="3" t="s">
        <v>90</v>
      </c>
      <c r="T350" s="3">
        <f t="shared" si="15"/>
        <v>1</v>
      </c>
      <c r="U350" t="s">
        <v>96</v>
      </c>
      <c r="V350" t="s">
        <v>142</v>
      </c>
      <c r="W350" t="s">
        <v>95</v>
      </c>
      <c r="X350">
        <v>0</v>
      </c>
      <c r="Y350" t="s">
        <v>41</v>
      </c>
      <c r="Z350" t="s">
        <v>92</v>
      </c>
      <c r="AA350" t="s">
        <v>63</v>
      </c>
      <c r="AB350" t="s">
        <v>412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</v>
      </c>
      <c r="AJ350" t="s">
        <v>1192</v>
      </c>
      <c r="AK350" t="s">
        <v>65</v>
      </c>
      <c r="AL350" t="s">
        <v>66</v>
      </c>
      <c r="AM350" t="str">
        <f t="shared" si="16"/>
        <v>2024-2027</v>
      </c>
      <c r="AN350">
        <f t="shared" si="17"/>
        <v>3</v>
      </c>
    </row>
    <row r="351" spans="1:40" x14ac:dyDescent="0.2">
      <c r="A351">
        <v>350</v>
      </c>
      <c r="B351" t="s">
        <v>1193</v>
      </c>
      <c r="C351" t="s">
        <v>1717</v>
      </c>
      <c r="D351" t="s">
        <v>114</v>
      </c>
      <c r="E351" t="s">
        <v>50</v>
      </c>
      <c r="F351" t="s">
        <v>76</v>
      </c>
      <c r="G351">
        <v>87</v>
      </c>
      <c r="H351">
        <v>40.633639230000007</v>
      </c>
      <c r="I351" t="s">
        <v>73</v>
      </c>
      <c r="J351">
        <v>69</v>
      </c>
      <c r="K351">
        <v>16.964653084999998</v>
      </c>
      <c r="L351">
        <v>33</v>
      </c>
      <c r="M351" t="s">
        <v>49</v>
      </c>
      <c r="N351">
        <v>75</v>
      </c>
      <c r="O351">
        <v>140</v>
      </c>
      <c r="P351">
        <v>3322</v>
      </c>
      <c r="Q351">
        <v>162</v>
      </c>
      <c r="R351" t="s">
        <v>1190</v>
      </c>
      <c r="S351" s="3" t="s">
        <v>90</v>
      </c>
      <c r="T351" s="3">
        <f t="shared" si="15"/>
        <v>1</v>
      </c>
      <c r="U351" t="s">
        <v>96</v>
      </c>
      <c r="V351" t="s">
        <v>142</v>
      </c>
      <c r="W351" t="s">
        <v>95</v>
      </c>
      <c r="X351">
        <v>0</v>
      </c>
      <c r="Y351" t="s">
        <v>41</v>
      </c>
      <c r="Z351" t="s">
        <v>92</v>
      </c>
      <c r="AA351" t="s">
        <v>63</v>
      </c>
      <c r="AB351" t="s">
        <v>412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 t="s">
        <v>1194</v>
      </c>
      <c r="AK351" t="s">
        <v>125</v>
      </c>
      <c r="AL351" t="s">
        <v>126</v>
      </c>
      <c r="AM351" t="str">
        <f t="shared" si="16"/>
        <v>2022-2024</v>
      </c>
      <c r="AN351">
        <f t="shared" si="17"/>
        <v>2</v>
      </c>
    </row>
    <row r="352" spans="1:40" x14ac:dyDescent="0.2">
      <c r="A352">
        <v>351</v>
      </c>
      <c r="B352" t="s">
        <v>1195</v>
      </c>
      <c r="C352" t="s">
        <v>1717</v>
      </c>
      <c r="D352" t="s">
        <v>186</v>
      </c>
      <c r="E352" t="s">
        <v>98</v>
      </c>
      <c r="F352" t="s">
        <v>99</v>
      </c>
      <c r="G352">
        <v>1</v>
      </c>
      <c r="H352">
        <v>0.37181753000000001</v>
      </c>
      <c r="I352" t="s">
        <v>88</v>
      </c>
      <c r="J352">
        <v>1</v>
      </c>
      <c r="K352">
        <v>0.44597812999999997</v>
      </c>
      <c r="L352">
        <v>0</v>
      </c>
      <c r="M352" t="s">
        <v>137</v>
      </c>
      <c r="N352">
        <v>0</v>
      </c>
      <c r="O352">
        <v>1</v>
      </c>
      <c r="P352">
        <v>0</v>
      </c>
      <c r="Q352">
        <v>162</v>
      </c>
      <c r="R352" t="s">
        <v>1190</v>
      </c>
      <c r="S352" s="3" t="s">
        <v>90</v>
      </c>
      <c r="T352" s="3">
        <f t="shared" si="15"/>
        <v>1</v>
      </c>
      <c r="U352" t="s">
        <v>96</v>
      </c>
      <c r="V352" t="s">
        <v>142</v>
      </c>
      <c r="W352" t="s">
        <v>95</v>
      </c>
      <c r="X352">
        <v>0</v>
      </c>
      <c r="Y352" t="s">
        <v>41</v>
      </c>
      <c r="Z352" t="s">
        <v>92</v>
      </c>
      <c r="AA352" t="s">
        <v>63</v>
      </c>
      <c r="AB352" t="s">
        <v>412</v>
      </c>
      <c r="AC352">
        <v>1</v>
      </c>
      <c r="AD352">
        <v>0</v>
      </c>
      <c r="AE352">
        <v>0</v>
      </c>
      <c r="AF352">
        <v>0</v>
      </c>
      <c r="AG352">
        <v>1</v>
      </c>
      <c r="AH352">
        <v>0</v>
      </c>
      <c r="AI352">
        <v>0</v>
      </c>
      <c r="AJ352" t="s">
        <v>1196</v>
      </c>
      <c r="AK352" t="s">
        <v>93</v>
      </c>
      <c r="AL352" t="s">
        <v>94</v>
      </c>
      <c r="AM352" t="str">
        <f t="shared" si="16"/>
        <v>2020-2021</v>
      </c>
      <c r="AN352">
        <f t="shared" si="17"/>
        <v>1</v>
      </c>
    </row>
    <row r="353" spans="1:40" x14ac:dyDescent="0.2">
      <c r="A353">
        <v>352</v>
      </c>
      <c r="B353" t="s">
        <v>1197</v>
      </c>
      <c r="C353" t="s">
        <v>1717</v>
      </c>
      <c r="D353" t="s">
        <v>227</v>
      </c>
      <c r="E353" t="s">
        <v>227</v>
      </c>
      <c r="F353" t="s">
        <v>227</v>
      </c>
      <c r="I353" t="s">
        <v>226</v>
      </c>
      <c r="M353" t="s">
        <v>226</v>
      </c>
      <c r="Q353">
        <v>162</v>
      </c>
      <c r="R353" t="s">
        <v>1190</v>
      </c>
      <c r="S353" s="3" t="s">
        <v>90</v>
      </c>
      <c r="T353" s="3">
        <f t="shared" si="15"/>
        <v>1</v>
      </c>
      <c r="U353" t="s">
        <v>96</v>
      </c>
      <c r="V353" t="s">
        <v>142</v>
      </c>
      <c r="W353" t="s">
        <v>95</v>
      </c>
      <c r="X353">
        <v>0</v>
      </c>
      <c r="Y353" t="s">
        <v>41</v>
      </c>
      <c r="Z353" t="s">
        <v>92</v>
      </c>
      <c r="AA353" t="s">
        <v>63</v>
      </c>
      <c r="AB353" t="s">
        <v>412</v>
      </c>
      <c r="AC353">
        <v>1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 s="4" t="s">
        <v>226</v>
      </c>
      <c r="AK353" t="s">
        <v>202</v>
      </c>
      <c r="AL353" t="s">
        <v>203</v>
      </c>
      <c r="AM353" t="str">
        <f t="shared" si="16"/>
        <v>2018-2020</v>
      </c>
      <c r="AN353">
        <f t="shared" si="17"/>
        <v>2</v>
      </c>
    </row>
    <row r="354" spans="1:40" x14ac:dyDescent="0.2">
      <c r="A354">
        <v>353</v>
      </c>
      <c r="B354" t="s">
        <v>1198</v>
      </c>
      <c r="C354" t="s">
        <v>1717</v>
      </c>
      <c r="D354" t="s">
        <v>37</v>
      </c>
      <c r="E354" t="s">
        <v>476</v>
      </c>
      <c r="F354" t="s">
        <v>1202</v>
      </c>
      <c r="G354">
        <v>45</v>
      </c>
      <c r="H354">
        <v>14.252134204000001</v>
      </c>
      <c r="I354" t="s">
        <v>1200</v>
      </c>
      <c r="J354">
        <v>34</v>
      </c>
      <c r="K354">
        <v>14.336245419999999</v>
      </c>
      <c r="L354">
        <v>10</v>
      </c>
      <c r="M354" t="s">
        <v>119</v>
      </c>
      <c r="N354">
        <v>12</v>
      </c>
      <c r="O354">
        <v>66</v>
      </c>
      <c r="P354">
        <v>311</v>
      </c>
      <c r="Q354">
        <v>163</v>
      </c>
      <c r="R354" t="s">
        <v>1201</v>
      </c>
      <c r="S354" s="3" t="s">
        <v>90</v>
      </c>
      <c r="T354" s="3">
        <f t="shared" si="15"/>
        <v>1</v>
      </c>
      <c r="U354" t="s">
        <v>96</v>
      </c>
      <c r="V354" t="s">
        <v>142</v>
      </c>
      <c r="W354" t="s">
        <v>95</v>
      </c>
      <c r="X354">
        <v>0</v>
      </c>
      <c r="Y354" t="s">
        <v>41</v>
      </c>
      <c r="Z354" t="s">
        <v>92</v>
      </c>
      <c r="AA354" t="s">
        <v>191</v>
      </c>
      <c r="AB354" t="s">
        <v>297</v>
      </c>
      <c r="AC354">
        <v>2</v>
      </c>
      <c r="AD354">
        <v>0</v>
      </c>
      <c r="AE354">
        <v>0</v>
      </c>
      <c r="AF354">
        <v>0</v>
      </c>
      <c r="AG354">
        <v>1</v>
      </c>
      <c r="AH354">
        <v>1</v>
      </c>
      <c r="AI354">
        <v>0</v>
      </c>
      <c r="AJ354" t="s">
        <v>1199</v>
      </c>
      <c r="AK354" t="s">
        <v>213</v>
      </c>
      <c r="AL354" t="s">
        <v>214</v>
      </c>
      <c r="AM354" t="str">
        <f t="shared" si="16"/>
        <v>2020-2024</v>
      </c>
      <c r="AN354">
        <f t="shared" si="17"/>
        <v>4</v>
      </c>
    </row>
    <row r="355" spans="1:40" x14ac:dyDescent="0.2">
      <c r="A355">
        <v>354</v>
      </c>
      <c r="B355" t="s">
        <v>1203</v>
      </c>
      <c r="C355" t="s">
        <v>1717</v>
      </c>
      <c r="D355" t="s">
        <v>60</v>
      </c>
      <c r="E355" t="s">
        <v>98</v>
      </c>
      <c r="F355" t="s">
        <v>99</v>
      </c>
      <c r="G355">
        <v>18</v>
      </c>
      <c r="H355">
        <v>8.3184532600000018</v>
      </c>
      <c r="I355" t="s">
        <v>88</v>
      </c>
      <c r="J355">
        <v>17</v>
      </c>
      <c r="K355">
        <v>8.9607403900000016</v>
      </c>
      <c r="L355">
        <v>4</v>
      </c>
      <c r="M355" t="s">
        <v>97</v>
      </c>
      <c r="N355">
        <v>1</v>
      </c>
      <c r="O355">
        <v>37</v>
      </c>
      <c r="P355">
        <v>45</v>
      </c>
      <c r="Q355">
        <v>163</v>
      </c>
      <c r="R355" t="s">
        <v>1201</v>
      </c>
      <c r="S355" s="3" t="s">
        <v>90</v>
      </c>
      <c r="T355" s="3">
        <f t="shared" si="15"/>
        <v>1</v>
      </c>
      <c r="U355" t="s">
        <v>96</v>
      </c>
      <c r="V355" t="s">
        <v>142</v>
      </c>
      <c r="W355" t="s">
        <v>95</v>
      </c>
      <c r="X355">
        <v>0</v>
      </c>
      <c r="Y355" t="s">
        <v>41</v>
      </c>
      <c r="Z355" t="s">
        <v>92</v>
      </c>
      <c r="AA355" t="s">
        <v>191</v>
      </c>
      <c r="AB355" t="s">
        <v>297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 t="s">
        <v>1204</v>
      </c>
      <c r="AK355" t="s">
        <v>65</v>
      </c>
      <c r="AL355" t="s">
        <v>66</v>
      </c>
      <c r="AM355" t="str">
        <f t="shared" si="16"/>
        <v>2024-2027</v>
      </c>
      <c r="AN355">
        <f t="shared" si="17"/>
        <v>3</v>
      </c>
    </row>
    <row r="356" spans="1:40" x14ac:dyDescent="0.2">
      <c r="A356">
        <v>355</v>
      </c>
      <c r="B356" t="s">
        <v>1205</v>
      </c>
      <c r="C356" t="s">
        <v>1718</v>
      </c>
      <c r="D356" t="s">
        <v>60</v>
      </c>
      <c r="E356" t="s">
        <v>68</v>
      </c>
      <c r="F356" t="s">
        <v>69</v>
      </c>
      <c r="G356">
        <v>53</v>
      </c>
      <c r="H356">
        <v>27.667326826000011</v>
      </c>
      <c r="I356" t="s">
        <v>61</v>
      </c>
      <c r="J356">
        <v>56</v>
      </c>
      <c r="K356">
        <v>30.582254129999999</v>
      </c>
      <c r="L356">
        <v>18</v>
      </c>
      <c r="M356" t="s">
        <v>67</v>
      </c>
      <c r="N356">
        <v>33</v>
      </c>
      <c r="O356">
        <v>72</v>
      </c>
      <c r="P356">
        <v>2431</v>
      </c>
      <c r="Q356">
        <v>164</v>
      </c>
      <c r="R356" t="s">
        <v>1207</v>
      </c>
      <c r="S356" s="3" t="s">
        <v>117</v>
      </c>
      <c r="T356" s="3">
        <f t="shared" si="15"/>
        <v>1</v>
      </c>
      <c r="U356" t="s">
        <v>96</v>
      </c>
      <c r="V356" t="s">
        <v>142</v>
      </c>
      <c r="W356" t="s">
        <v>95</v>
      </c>
      <c r="X356">
        <v>0</v>
      </c>
      <c r="Y356" t="s">
        <v>41</v>
      </c>
      <c r="Z356" t="s">
        <v>92</v>
      </c>
      <c r="AA356" t="s">
        <v>191</v>
      </c>
      <c r="AB356" t="s">
        <v>297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 t="s">
        <v>1206</v>
      </c>
      <c r="AK356" t="s">
        <v>65</v>
      </c>
      <c r="AL356" t="s">
        <v>66</v>
      </c>
      <c r="AM356" t="str">
        <f t="shared" si="16"/>
        <v>2024-2027</v>
      </c>
      <c r="AN356">
        <f t="shared" si="17"/>
        <v>3</v>
      </c>
    </row>
    <row r="357" spans="1:40" x14ac:dyDescent="0.2">
      <c r="A357">
        <v>356</v>
      </c>
      <c r="B357" t="s">
        <v>1208</v>
      </c>
      <c r="C357" t="s">
        <v>1718</v>
      </c>
      <c r="D357" t="s">
        <v>231</v>
      </c>
      <c r="E357" t="s">
        <v>98</v>
      </c>
      <c r="F357" t="s">
        <v>99</v>
      </c>
      <c r="G357">
        <v>35</v>
      </c>
      <c r="H357">
        <v>12.933744895</v>
      </c>
      <c r="I357" t="s">
        <v>88</v>
      </c>
      <c r="J357">
        <v>24</v>
      </c>
      <c r="K357">
        <v>12.20150827</v>
      </c>
      <c r="L357">
        <v>12</v>
      </c>
      <c r="M357" t="s">
        <v>67</v>
      </c>
      <c r="N357">
        <v>12</v>
      </c>
      <c r="O357">
        <v>73</v>
      </c>
      <c r="P357">
        <v>588</v>
      </c>
      <c r="Q357">
        <v>165</v>
      </c>
      <c r="R357" t="s">
        <v>1210</v>
      </c>
      <c r="S357" s="3">
        <v>4</v>
      </c>
      <c r="T357" s="3">
        <f t="shared" si="15"/>
        <v>1</v>
      </c>
      <c r="U357" t="s">
        <v>96</v>
      </c>
      <c r="V357" t="s">
        <v>142</v>
      </c>
      <c r="W357" t="s">
        <v>95</v>
      </c>
      <c r="X357">
        <v>0</v>
      </c>
      <c r="Y357" t="s">
        <v>41</v>
      </c>
      <c r="Z357" t="s">
        <v>92</v>
      </c>
      <c r="AA357" t="s">
        <v>43</v>
      </c>
      <c r="AB357" t="s">
        <v>118</v>
      </c>
      <c r="AC357">
        <v>1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 t="s">
        <v>1209</v>
      </c>
      <c r="AK357" t="s">
        <v>93</v>
      </c>
      <c r="AL357" t="s">
        <v>94</v>
      </c>
      <c r="AM357" t="str">
        <f t="shared" si="16"/>
        <v>2020-2021</v>
      </c>
      <c r="AN357">
        <f t="shared" si="17"/>
        <v>1</v>
      </c>
    </row>
    <row r="358" spans="1:40" x14ac:dyDescent="0.2">
      <c r="A358">
        <v>357</v>
      </c>
      <c r="B358" t="s">
        <v>1211</v>
      </c>
      <c r="C358" t="s">
        <v>1717</v>
      </c>
      <c r="D358" t="s">
        <v>72</v>
      </c>
      <c r="E358" t="s">
        <v>68</v>
      </c>
      <c r="F358" t="s">
        <v>386</v>
      </c>
      <c r="G358">
        <v>107</v>
      </c>
      <c r="H358">
        <v>41.43886959999999</v>
      </c>
      <c r="I358" t="s">
        <v>385</v>
      </c>
      <c r="J358">
        <v>70</v>
      </c>
      <c r="K358">
        <v>35.183960019999986</v>
      </c>
      <c r="L358">
        <v>11</v>
      </c>
      <c r="M358" t="s">
        <v>67</v>
      </c>
      <c r="N358">
        <v>12</v>
      </c>
      <c r="O358">
        <v>122</v>
      </c>
      <c r="P358">
        <v>441</v>
      </c>
      <c r="Q358">
        <v>166</v>
      </c>
      <c r="R358" t="s">
        <v>1213</v>
      </c>
      <c r="S358" s="3" t="s">
        <v>90</v>
      </c>
      <c r="T358" s="3">
        <f t="shared" si="15"/>
        <v>1</v>
      </c>
      <c r="U358" t="s">
        <v>96</v>
      </c>
      <c r="V358" t="s">
        <v>142</v>
      </c>
      <c r="W358" t="s">
        <v>95</v>
      </c>
      <c r="X358">
        <v>0</v>
      </c>
      <c r="Y358" t="s">
        <v>41</v>
      </c>
      <c r="Z358" t="s">
        <v>92</v>
      </c>
      <c r="AA358" t="s">
        <v>191</v>
      </c>
      <c r="AB358" t="s">
        <v>297</v>
      </c>
      <c r="AC358">
        <v>2</v>
      </c>
      <c r="AD358">
        <v>0</v>
      </c>
      <c r="AE358">
        <v>0</v>
      </c>
      <c r="AF358">
        <v>0</v>
      </c>
      <c r="AG358">
        <v>1</v>
      </c>
      <c r="AH358">
        <v>1</v>
      </c>
      <c r="AI358">
        <v>0</v>
      </c>
      <c r="AJ358" t="s">
        <v>1212</v>
      </c>
      <c r="AK358" t="s">
        <v>213</v>
      </c>
      <c r="AL358" t="s">
        <v>214</v>
      </c>
      <c r="AM358" t="str">
        <f t="shared" si="16"/>
        <v>2020-2024</v>
      </c>
      <c r="AN358">
        <f t="shared" si="17"/>
        <v>4</v>
      </c>
    </row>
    <row r="359" spans="1:40" x14ac:dyDescent="0.2">
      <c r="A359">
        <v>358</v>
      </c>
      <c r="B359" t="s">
        <v>1214</v>
      </c>
      <c r="C359" t="s">
        <v>1718</v>
      </c>
      <c r="D359" t="s">
        <v>60</v>
      </c>
      <c r="E359" t="s">
        <v>150</v>
      </c>
      <c r="F359" t="s">
        <v>151</v>
      </c>
      <c r="G359">
        <v>11</v>
      </c>
      <c r="H359">
        <v>4.3729606900000002</v>
      </c>
      <c r="I359" t="s">
        <v>140</v>
      </c>
      <c r="J359">
        <v>10</v>
      </c>
      <c r="K359">
        <v>6.7581899400000003</v>
      </c>
      <c r="L359">
        <v>4</v>
      </c>
      <c r="M359" t="s">
        <v>97</v>
      </c>
      <c r="N359">
        <v>4</v>
      </c>
      <c r="O359">
        <v>11</v>
      </c>
      <c r="P359">
        <v>94</v>
      </c>
      <c r="Q359">
        <v>166</v>
      </c>
      <c r="R359" t="s">
        <v>1213</v>
      </c>
      <c r="S359" s="3" t="s">
        <v>90</v>
      </c>
      <c r="T359" s="3">
        <f t="shared" si="15"/>
        <v>1</v>
      </c>
      <c r="U359" t="s">
        <v>96</v>
      </c>
      <c r="V359" t="s">
        <v>142</v>
      </c>
      <c r="W359" t="s">
        <v>95</v>
      </c>
      <c r="X359">
        <v>0</v>
      </c>
      <c r="Y359" t="s">
        <v>41</v>
      </c>
      <c r="Z359" t="s">
        <v>92</v>
      </c>
      <c r="AA359" t="s">
        <v>191</v>
      </c>
      <c r="AB359" t="s">
        <v>297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1</v>
      </c>
      <c r="AJ359" t="s">
        <v>1215</v>
      </c>
      <c r="AK359" t="s">
        <v>65</v>
      </c>
      <c r="AL359" t="s">
        <v>66</v>
      </c>
      <c r="AM359" t="str">
        <f t="shared" si="16"/>
        <v>2024-2027</v>
      </c>
      <c r="AN359">
        <f t="shared" si="17"/>
        <v>3</v>
      </c>
    </row>
    <row r="360" spans="1:40" x14ac:dyDescent="0.2">
      <c r="A360">
        <v>359</v>
      </c>
      <c r="B360" t="s">
        <v>1216</v>
      </c>
      <c r="C360" t="s">
        <v>1717</v>
      </c>
      <c r="D360" t="s">
        <v>394</v>
      </c>
      <c r="E360" t="s">
        <v>98</v>
      </c>
      <c r="F360" t="s">
        <v>99</v>
      </c>
      <c r="G360">
        <v>29</v>
      </c>
      <c r="H360">
        <v>14.368516380000001</v>
      </c>
      <c r="I360" t="s">
        <v>88</v>
      </c>
      <c r="J360">
        <v>31</v>
      </c>
      <c r="K360">
        <v>16.722590019999998</v>
      </c>
      <c r="L360">
        <v>2</v>
      </c>
      <c r="M360" t="s">
        <v>97</v>
      </c>
      <c r="N360">
        <v>0</v>
      </c>
      <c r="O360">
        <v>35</v>
      </c>
      <c r="P360">
        <v>15</v>
      </c>
      <c r="Q360">
        <v>167</v>
      </c>
      <c r="R360" t="s">
        <v>1218</v>
      </c>
      <c r="S360" s="3" t="s">
        <v>117</v>
      </c>
      <c r="T360" s="3">
        <f t="shared" si="15"/>
        <v>1</v>
      </c>
      <c r="U360" t="s">
        <v>96</v>
      </c>
      <c r="V360" t="s">
        <v>142</v>
      </c>
      <c r="W360" t="s">
        <v>95</v>
      </c>
      <c r="X360">
        <v>0</v>
      </c>
      <c r="Y360" t="s">
        <v>41</v>
      </c>
      <c r="Z360" t="s">
        <v>92</v>
      </c>
      <c r="AA360" t="s">
        <v>43</v>
      </c>
      <c r="AB360" t="s">
        <v>118</v>
      </c>
      <c r="AC360">
        <v>2</v>
      </c>
      <c r="AD360">
        <v>1</v>
      </c>
      <c r="AE360">
        <v>1</v>
      </c>
      <c r="AF360">
        <v>0</v>
      </c>
      <c r="AG360">
        <v>0</v>
      </c>
      <c r="AH360">
        <v>0</v>
      </c>
      <c r="AI360">
        <v>0</v>
      </c>
      <c r="AJ360" t="s">
        <v>1217</v>
      </c>
      <c r="AK360" t="s">
        <v>82</v>
      </c>
      <c r="AL360" t="s">
        <v>83</v>
      </c>
      <c r="AM360" t="str">
        <f t="shared" si="16"/>
        <v>2014-2016</v>
      </c>
      <c r="AN360">
        <f t="shared" si="17"/>
        <v>2</v>
      </c>
    </row>
    <row r="361" spans="1:40" x14ac:dyDescent="0.2">
      <c r="A361">
        <v>360</v>
      </c>
      <c r="B361" t="s">
        <v>1219</v>
      </c>
      <c r="C361" t="s">
        <v>1718</v>
      </c>
      <c r="D361" t="s">
        <v>72</v>
      </c>
      <c r="E361" t="s">
        <v>68</v>
      </c>
      <c r="F361" t="s">
        <v>329</v>
      </c>
      <c r="G361">
        <v>57</v>
      </c>
      <c r="H361">
        <v>32.104105889999992</v>
      </c>
      <c r="I361" t="s">
        <v>326</v>
      </c>
      <c r="J361">
        <v>43</v>
      </c>
      <c r="K361">
        <v>11.81285293</v>
      </c>
      <c r="L361">
        <v>17</v>
      </c>
      <c r="M361" t="s">
        <v>67</v>
      </c>
      <c r="N361">
        <v>29</v>
      </c>
      <c r="O361">
        <v>74</v>
      </c>
      <c r="P361">
        <v>801</v>
      </c>
      <c r="Q361">
        <v>167</v>
      </c>
      <c r="R361" t="s">
        <v>1218</v>
      </c>
      <c r="S361" s="3" t="s">
        <v>117</v>
      </c>
      <c r="T361" s="3">
        <f t="shared" si="15"/>
        <v>1</v>
      </c>
      <c r="U361" t="s">
        <v>96</v>
      </c>
      <c r="V361" t="s">
        <v>142</v>
      </c>
      <c r="W361" t="s">
        <v>95</v>
      </c>
      <c r="X361">
        <v>0</v>
      </c>
      <c r="Y361" t="s">
        <v>41</v>
      </c>
      <c r="Z361" t="s">
        <v>92</v>
      </c>
      <c r="AA361" t="s">
        <v>43</v>
      </c>
      <c r="AB361" t="s">
        <v>118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 t="s">
        <v>1220</v>
      </c>
      <c r="AK361" t="s">
        <v>65</v>
      </c>
      <c r="AL361" t="s">
        <v>66</v>
      </c>
      <c r="AM361" t="str">
        <f t="shared" si="16"/>
        <v>2024-2027</v>
      </c>
      <c r="AN361">
        <f t="shared" si="17"/>
        <v>3</v>
      </c>
    </row>
    <row r="362" spans="1:40" x14ac:dyDescent="0.2">
      <c r="A362">
        <v>361</v>
      </c>
      <c r="B362" t="s">
        <v>1221</v>
      </c>
      <c r="C362" t="s">
        <v>1717</v>
      </c>
      <c r="D362" t="s">
        <v>394</v>
      </c>
      <c r="E362" t="s">
        <v>98</v>
      </c>
      <c r="F362" t="s">
        <v>99</v>
      </c>
      <c r="G362">
        <v>14</v>
      </c>
      <c r="H362">
        <v>6.1203368200000003</v>
      </c>
      <c r="I362" t="s">
        <v>88</v>
      </c>
      <c r="J362">
        <v>15</v>
      </c>
      <c r="K362">
        <v>7.8405247199999986</v>
      </c>
      <c r="L362">
        <v>1</v>
      </c>
      <c r="M362" t="s">
        <v>137</v>
      </c>
      <c r="N362">
        <v>0</v>
      </c>
      <c r="O362">
        <v>17</v>
      </c>
      <c r="P362">
        <v>4</v>
      </c>
      <c r="Q362">
        <v>167</v>
      </c>
      <c r="R362" t="s">
        <v>1218</v>
      </c>
      <c r="S362" s="3" t="s">
        <v>117</v>
      </c>
      <c r="T362" s="3">
        <f t="shared" si="15"/>
        <v>1</v>
      </c>
      <c r="U362" t="s">
        <v>96</v>
      </c>
      <c r="V362" t="s">
        <v>142</v>
      </c>
      <c r="W362" t="s">
        <v>95</v>
      </c>
      <c r="X362">
        <v>0</v>
      </c>
      <c r="Y362" t="s">
        <v>41</v>
      </c>
      <c r="Z362" t="s">
        <v>92</v>
      </c>
      <c r="AA362" t="s">
        <v>43</v>
      </c>
      <c r="AB362" t="s">
        <v>118</v>
      </c>
      <c r="AC362">
        <v>1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 t="s">
        <v>1222</v>
      </c>
      <c r="AK362" t="s">
        <v>320</v>
      </c>
      <c r="AL362" t="s">
        <v>321</v>
      </c>
      <c r="AM362" t="str">
        <f t="shared" si="16"/>
        <v>2016-2018</v>
      </c>
      <c r="AN362">
        <f t="shared" si="17"/>
        <v>2</v>
      </c>
    </row>
    <row r="363" spans="1:40" x14ac:dyDescent="0.2">
      <c r="A363">
        <v>362</v>
      </c>
      <c r="B363" t="s">
        <v>1223</v>
      </c>
      <c r="C363" t="s">
        <v>1718</v>
      </c>
      <c r="D363" t="s">
        <v>72</v>
      </c>
      <c r="E363" t="s">
        <v>68</v>
      </c>
      <c r="F363" t="s">
        <v>362</v>
      </c>
      <c r="G363">
        <v>57</v>
      </c>
      <c r="H363">
        <v>38.88511376999999</v>
      </c>
      <c r="I363" t="s">
        <v>357</v>
      </c>
      <c r="J363">
        <v>33</v>
      </c>
      <c r="K363">
        <v>13.776867449999999</v>
      </c>
      <c r="L363">
        <v>15</v>
      </c>
      <c r="M363" t="s">
        <v>67</v>
      </c>
      <c r="N363">
        <v>23</v>
      </c>
      <c r="O363">
        <v>57</v>
      </c>
      <c r="P363">
        <v>1304</v>
      </c>
      <c r="Q363">
        <v>168</v>
      </c>
      <c r="R363" t="s">
        <v>1225</v>
      </c>
      <c r="S363" s="3" t="s">
        <v>90</v>
      </c>
      <c r="T363" s="3">
        <f t="shared" si="15"/>
        <v>1</v>
      </c>
      <c r="U363" t="s">
        <v>96</v>
      </c>
      <c r="V363" t="s">
        <v>142</v>
      </c>
      <c r="W363" t="s">
        <v>95</v>
      </c>
      <c r="X363">
        <v>0</v>
      </c>
      <c r="Y363" t="s">
        <v>41</v>
      </c>
      <c r="Z363" t="s">
        <v>92</v>
      </c>
      <c r="AA363" t="s">
        <v>191</v>
      </c>
      <c r="AB363" t="s">
        <v>457</v>
      </c>
      <c r="AC363">
        <v>1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 t="s">
        <v>1224</v>
      </c>
      <c r="AK363" t="s">
        <v>93</v>
      </c>
      <c r="AL363" t="s">
        <v>94</v>
      </c>
      <c r="AM363" t="str">
        <f t="shared" si="16"/>
        <v>2020-2021</v>
      </c>
      <c r="AN363">
        <f t="shared" si="17"/>
        <v>1</v>
      </c>
    </row>
    <row r="364" spans="1:40" x14ac:dyDescent="0.2">
      <c r="A364">
        <v>363</v>
      </c>
      <c r="B364" t="s">
        <v>1226</v>
      </c>
      <c r="C364" t="s">
        <v>1717</v>
      </c>
      <c r="D364" t="s">
        <v>72</v>
      </c>
      <c r="E364" t="s">
        <v>68</v>
      </c>
      <c r="F364" t="s">
        <v>362</v>
      </c>
      <c r="G364">
        <v>87</v>
      </c>
      <c r="H364">
        <v>40.837116996000013</v>
      </c>
      <c r="I364" t="s">
        <v>357</v>
      </c>
      <c r="J364">
        <v>71</v>
      </c>
      <c r="K364">
        <v>26.930338890000002</v>
      </c>
      <c r="L364">
        <v>15</v>
      </c>
      <c r="M364" t="s">
        <v>67</v>
      </c>
      <c r="N364">
        <v>33</v>
      </c>
      <c r="O364">
        <v>103</v>
      </c>
      <c r="P364">
        <v>920</v>
      </c>
      <c r="Q364">
        <v>168</v>
      </c>
      <c r="R364" t="s">
        <v>1225</v>
      </c>
      <c r="S364" s="3" t="s">
        <v>90</v>
      </c>
      <c r="T364" s="3">
        <f t="shared" si="15"/>
        <v>1</v>
      </c>
      <c r="U364" t="s">
        <v>96</v>
      </c>
      <c r="V364" t="s">
        <v>142</v>
      </c>
      <c r="W364" t="s">
        <v>95</v>
      </c>
      <c r="X364">
        <v>0</v>
      </c>
      <c r="Y364" t="s">
        <v>41</v>
      </c>
      <c r="Z364" t="s">
        <v>92</v>
      </c>
      <c r="AA364" t="s">
        <v>191</v>
      </c>
      <c r="AB364" t="s">
        <v>457</v>
      </c>
      <c r="AC364">
        <v>2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1</v>
      </c>
      <c r="AJ364" t="s">
        <v>1227</v>
      </c>
      <c r="AK364" t="s">
        <v>55</v>
      </c>
      <c r="AL364" t="s">
        <v>56</v>
      </c>
      <c r="AM364" t="str">
        <f t="shared" si="16"/>
        <v>2022-2027</v>
      </c>
      <c r="AN364">
        <f t="shared" si="17"/>
        <v>5</v>
      </c>
    </row>
    <row r="365" spans="1:40" x14ac:dyDescent="0.2">
      <c r="A365">
        <v>364</v>
      </c>
      <c r="B365" t="s">
        <v>1228</v>
      </c>
      <c r="C365" t="s">
        <v>1717</v>
      </c>
      <c r="D365" t="s">
        <v>72</v>
      </c>
      <c r="E365" t="s">
        <v>68</v>
      </c>
      <c r="F365" t="s">
        <v>408</v>
      </c>
      <c r="G365">
        <v>190</v>
      </c>
      <c r="H365">
        <v>71.877268830000006</v>
      </c>
      <c r="I365" t="s">
        <v>407</v>
      </c>
      <c r="J365">
        <v>172</v>
      </c>
      <c r="K365">
        <v>100.83649473</v>
      </c>
      <c r="L365">
        <v>19</v>
      </c>
      <c r="M365" t="s">
        <v>67</v>
      </c>
      <c r="N365">
        <v>42</v>
      </c>
      <c r="O365">
        <v>197</v>
      </c>
      <c r="P365">
        <v>1296</v>
      </c>
      <c r="Q365">
        <v>168</v>
      </c>
      <c r="R365" t="s">
        <v>1225</v>
      </c>
      <c r="S365" s="3" t="s">
        <v>90</v>
      </c>
      <c r="T365" s="3">
        <f t="shared" si="15"/>
        <v>1</v>
      </c>
      <c r="U365" t="s">
        <v>96</v>
      </c>
      <c r="V365" t="s">
        <v>142</v>
      </c>
      <c r="W365" t="s">
        <v>95</v>
      </c>
      <c r="X365">
        <v>0</v>
      </c>
      <c r="Y365" t="s">
        <v>41</v>
      </c>
      <c r="Z365" t="s">
        <v>92</v>
      </c>
      <c r="AA365" t="s">
        <v>191</v>
      </c>
      <c r="AB365" t="s">
        <v>457</v>
      </c>
      <c r="AC365">
        <v>1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 t="s">
        <v>1229</v>
      </c>
      <c r="AK365" t="s">
        <v>320</v>
      </c>
      <c r="AL365" t="s">
        <v>321</v>
      </c>
      <c r="AM365" t="str">
        <f t="shared" si="16"/>
        <v>2016-2018</v>
      </c>
      <c r="AN365">
        <f t="shared" si="17"/>
        <v>2</v>
      </c>
    </row>
    <row r="366" spans="1:40" x14ac:dyDescent="0.2">
      <c r="A366">
        <v>365</v>
      </c>
      <c r="B366" t="s">
        <v>1230</v>
      </c>
      <c r="C366" t="s">
        <v>1717</v>
      </c>
      <c r="D366" t="s">
        <v>72</v>
      </c>
      <c r="E366" t="s">
        <v>68</v>
      </c>
      <c r="F366" t="s">
        <v>1233</v>
      </c>
      <c r="G366">
        <v>98</v>
      </c>
      <c r="H366">
        <v>75.718483320000004</v>
      </c>
      <c r="I366" t="s">
        <v>1232</v>
      </c>
      <c r="J366">
        <v>82</v>
      </c>
      <c r="K366">
        <v>39.315130259999989</v>
      </c>
      <c r="L366">
        <v>19</v>
      </c>
      <c r="M366" t="s">
        <v>67</v>
      </c>
      <c r="N366">
        <v>47</v>
      </c>
      <c r="O366">
        <v>98</v>
      </c>
      <c r="P366">
        <v>1603</v>
      </c>
      <c r="Q366">
        <v>168</v>
      </c>
      <c r="R366" t="s">
        <v>1225</v>
      </c>
      <c r="S366" s="3" t="s">
        <v>90</v>
      </c>
      <c r="T366" s="3">
        <f t="shared" si="15"/>
        <v>1</v>
      </c>
      <c r="U366" t="s">
        <v>96</v>
      </c>
      <c r="V366" t="s">
        <v>142</v>
      </c>
      <c r="W366" t="s">
        <v>95</v>
      </c>
      <c r="X366">
        <v>0</v>
      </c>
      <c r="Y366" t="s">
        <v>41</v>
      </c>
      <c r="Z366" t="s">
        <v>92</v>
      </c>
      <c r="AA366" t="s">
        <v>191</v>
      </c>
      <c r="AB366" t="s">
        <v>457</v>
      </c>
      <c r="AC366">
        <v>2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1</v>
      </c>
      <c r="AJ366" t="s">
        <v>1231</v>
      </c>
      <c r="AK366" t="s">
        <v>55</v>
      </c>
      <c r="AL366" t="s">
        <v>56</v>
      </c>
      <c r="AM366" t="str">
        <f t="shared" si="16"/>
        <v>2022-2027</v>
      </c>
      <c r="AN366">
        <f t="shared" si="17"/>
        <v>5</v>
      </c>
    </row>
    <row r="367" spans="1:40" x14ac:dyDescent="0.2">
      <c r="A367">
        <v>366</v>
      </c>
      <c r="B367" t="s">
        <v>1234</v>
      </c>
      <c r="C367" t="s">
        <v>1717</v>
      </c>
      <c r="D367" t="s">
        <v>60</v>
      </c>
      <c r="E367" t="s">
        <v>150</v>
      </c>
      <c r="F367" t="s">
        <v>151</v>
      </c>
      <c r="G367">
        <v>352</v>
      </c>
      <c r="H367">
        <v>183.4739070020002</v>
      </c>
      <c r="I367" t="s">
        <v>140</v>
      </c>
      <c r="J367">
        <v>281</v>
      </c>
      <c r="K367">
        <v>132.68928928599999</v>
      </c>
      <c r="L367">
        <v>47</v>
      </c>
      <c r="M367" t="s">
        <v>49</v>
      </c>
      <c r="N367">
        <v>191</v>
      </c>
      <c r="O367">
        <v>371</v>
      </c>
      <c r="P367">
        <v>8679</v>
      </c>
      <c r="Q367">
        <v>169</v>
      </c>
      <c r="R367" t="s">
        <v>1236</v>
      </c>
      <c r="S367" s="3" t="s">
        <v>117</v>
      </c>
      <c r="T367" s="3">
        <f t="shared" si="15"/>
        <v>1</v>
      </c>
      <c r="U367" t="s">
        <v>96</v>
      </c>
      <c r="V367" t="s">
        <v>142</v>
      </c>
      <c r="W367" t="s">
        <v>95</v>
      </c>
      <c r="X367">
        <v>0</v>
      </c>
      <c r="Y367" t="s">
        <v>41</v>
      </c>
      <c r="Z367" t="s">
        <v>92</v>
      </c>
      <c r="AA367" t="s">
        <v>43</v>
      </c>
      <c r="AB367" t="s">
        <v>118</v>
      </c>
      <c r="AC367">
        <v>2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1</v>
      </c>
      <c r="AJ367" t="s">
        <v>1235</v>
      </c>
      <c r="AK367" t="s">
        <v>55</v>
      </c>
      <c r="AL367" t="s">
        <v>56</v>
      </c>
      <c r="AM367" t="str">
        <f t="shared" si="16"/>
        <v>2022-2027</v>
      </c>
      <c r="AN367">
        <f t="shared" si="17"/>
        <v>5</v>
      </c>
    </row>
    <row r="368" spans="1:40" x14ac:dyDescent="0.2">
      <c r="A368">
        <v>367</v>
      </c>
      <c r="B368" t="s">
        <v>1237</v>
      </c>
      <c r="C368" t="s">
        <v>1718</v>
      </c>
      <c r="D368" t="s">
        <v>72</v>
      </c>
      <c r="E368" t="s">
        <v>68</v>
      </c>
      <c r="F368" t="s">
        <v>1240</v>
      </c>
      <c r="G368">
        <v>2</v>
      </c>
      <c r="H368">
        <v>0.81436920000000002</v>
      </c>
      <c r="I368" t="s">
        <v>1239</v>
      </c>
      <c r="J368">
        <v>1</v>
      </c>
      <c r="K368">
        <v>0.70047139999999997</v>
      </c>
      <c r="L368">
        <v>1</v>
      </c>
      <c r="M368" t="s">
        <v>137</v>
      </c>
      <c r="N368">
        <v>1</v>
      </c>
      <c r="O368">
        <v>2</v>
      </c>
      <c r="P368">
        <v>23</v>
      </c>
      <c r="Q368">
        <v>170</v>
      </c>
      <c r="R368" t="s">
        <v>1241</v>
      </c>
      <c r="S368" s="3" t="s">
        <v>90</v>
      </c>
      <c r="T368" s="3">
        <f t="shared" si="15"/>
        <v>1</v>
      </c>
      <c r="U368" t="s">
        <v>96</v>
      </c>
      <c r="V368" t="s">
        <v>142</v>
      </c>
      <c r="W368" t="s">
        <v>220</v>
      </c>
      <c r="X368">
        <v>0</v>
      </c>
      <c r="Y368" t="s">
        <v>41</v>
      </c>
      <c r="Z368" t="s">
        <v>219</v>
      </c>
      <c r="AA368" t="s">
        <v>43</v>
      </c>
      <c r="AB368" t="s">
        <v>118</v>
      </c>
      <c r="AC368">
        <v>3</v>
      </c>
      <c r="AD368">
        <v>0</v>
      </c>
      <c r="AE368">
        <v>0</v>
      </c>
      <c r="AF368">
        <v>0</v>
      </c>
      <c r="AG368">
        <v>1</v>
      </c>
      <c r="AH368">
        <v>1</v>
      </c>
      <c r="AI368">
        <v>1</v>
      </c>
      <c r="AJ368" t="s">
        <v>1238</v>
      </c>
      <c r="AK368" t="s">
        <v>269</v>
      </c>
      <c r="AL368" t="s">
        <v>270</v>
      </c>
      <c r="AM368" t="str">
        <f t="shared" si="16"/>
        <v>2020-2027</v>
      </c>
      <c r="AN368">
        <f t="shared" si="17"/>
        <v>7</v>
      </c>
    </row>
    <row r="369" spans="1:40" x14ac:dyDescent="0.2">
      <c r="A369">
        <v>368</v>
      </c>
      <c r="B369" t="s">
        <v>1242</v>
      </c>
      <c r="C369" t="s">
        <v>1717</v>
      </c>
      <c r="D369" t="s">
        <v>123</v>
      </c>
      <c r="E369" t="s">
        <v>68</v>
      </c>
      <c r="F369" t="s">
        <v>1246</v>
      </c>
      <c r="G369">
        <v>451</v>
      </c>
      <c r="H369">
        <v>328.69747913999993</v>
      </c>
      <c r="I369" t="s">
        <v>1244</v>
      </c>
      <c r="J369">
        <v>266</v>
      </c>
      <c r="K369">
        <v>8.0208683440000001</v>
      </c>
      <c r="L369">
        <v>24</v>
      </c>
      <c r="M369" t="s">
        <v>49</v>
      </c>
      <c r="N369">
        <v>103</v>
      </c>
      <c r="O369">
        <v>470</v>
      </c>
      <c r="P369">
        <v>3423</v>
      </c>
      <c r="Q369">
        <v>171</v>
      </c>
      <c r="R369" t="s">
        <v>1245</v>
      </c>
      <c r="S369" s="3" t="s">
        <v>90</v>
      </c>
      <c r="T369" s="3">
        <f t="shared" si="15"/>
        <v>1</v>
      </c>
      <c r="U369" t="s">
        <v>96</v>
      </c>
      <c r="V369" t="s">
        <v>142</v>
      </c>
      <c r="W369" t="s">
        <v>95</v>
      </c>
      <c r="X369">
        <v>0</v>
      </c>
      <c r="Y369" t="s">
        <v>41</v>
      </c>
      <c r="Z369" t="s">
        <v>92</v>
      </c>
      <c r="AA369" t="s">
        <v>224</v>
      </c>
      <c r="AB369" t="s">
        <v>234</v>
      </c>
      <c r="AC369">
        <v>2</v>
      </c>
      <c r="AD369">
        <v>1</v>
      </c>
      <c r="AE369">
        <v>1</v>
      </c>
      <c r="AF369">
        <v>0</v>
      </c>
      <c r="AG369">
        <v>0</v>
      </c>
      <c r="AH369">
        <v>0</v>
      </c>
      <c r="AI369">
        <v>0</v>
      </c>
      <c r="AJ369" t="s">
        <v>1243</v>
      </c>
      <c r="AK369" t="s">
        <v>82</v>
      </c>
      <c r="AL369" t="s">
        <v>83</v>
      </c>
      <c r="AM369" t="str">
        <f t="shared" si="16"/>
        <v>2014-2016</v>
      </c>
      <c r="AN369">
        <f t="shared" si="17"/>
        <v>2</v>
      </c>
    </row>
    <row r="370" spans="1:40" x14ac:dyDescent="0.2">
      <c r="A370">
        <v>369</v>
      </c>
      <c r="B370" t="s">
        <v>1247</v>
      </c>
      <c r="C370" t="s">
        <v>1717</v>
      </c>
      <c r="D370" t="s">
        <v>60</v>
      </c>
      <c r="E370" t="s">
        <v>68</v>
      </c>
      <c r="F370" t="s">
        <v>890</v>
      </c>
      <c r="G370">
        <v>534</v>
      </c>
      <c r="H370">
        <v>274.08707532799968</v>
      </c>
      <c r="I370" t="s">
        <v>888</v>
      </c>
      <c r="J370">
        <v>389</v>
      </c>
      <c r="K370">
        <v>193.70523967700009</v>
      </c>
      <c r="L370">
        <v>66</v>
      </c>
      <c r="M370" t="s">
        <v>49</v>
      </c>
      <c r="N370">
        <v>312</v>
      </c>
      <c r="O370">
        <v>608</v>
      </c>
      <c r="P370">
        <v>17564</v>
      </c>
      <c r="Q370">
        <v>171</v>
      </c>
      <c r="R370" t="s">
        <v>1245</v>
      </c>
      <c r="S370" s="3" t="s">
        <v>90</v>
      </c>
      <c r="T370" s="3">
        <f t="shared" si="15"/>
        <v>1</v>
      </c>
      <c r="U370" t="s">
        <v>96</v>
      </c>
      <c r="V370" t="s">
        <v>142</v>
      </c>
      <c r="W370" t="s">
        <v>95</v>
      </c>
      <c r="X370">
        <v>0</v>
      </c>
      <c r="Y370" t="s">
        <v>41</v>
      </c>
      <c r="Z370" t="s">
        <v>92</v>
      </c>
      <c r="AA370" t="s">
        <v>43</v>
      </c>
      <c r="AB370" t="s">
        <v>118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 t="s">
        <v>1248</v>
      </c>
      <c r="AK370" t="s">
        <v>65</v>
      </c>
      <c r="AL370" t="s">
        <v>66</v>
      </c>
      <c r="AM370" t="str">
        <f t="shared" si="16"/>
        <v>2024-2027</v>
      </c>
      <c r="AN370">
        <f t="shared" si="17"/>
        <v>3</v>
      </c>
    </row>
    <row r="371" spans="1:40" x14ac:dyDescent="0.2">
      <c r="A371">
        <v>370</v>
      </c>
      <c r="B371" t="s">
        <v>1249</v>
      </c>
      <c r="C371" t="s">
        <v>1718</v>
      </c>
      <c r="D371" t="s">
        <v>72</v>
      </c>
      <c r="E371" t="s">
        <v>68</v>
      </c>
      <c r="F371" t="s">
        <v>362</v>
      </c>
      <c r="G371">
        <v>91</v>
      </c>
      <c r="H371">
        <v>43.378018079999997</v>
      </c>
      <c r="I371" t="s">
        <v>357</v>
      </c>
      <c r="J371">
        <v>77</v>
      </c>
      <c r="K371">
        <v>31.300864450000009</v>
      </c>
      <c r="L371">
        <v>26</v>
      </c>
      <c r="M371" t="s">
        <v>49</v>
      </c>
      <c r="N371">
        <v>39</v>
      </c>
      <c r="O371">
        <v>109</v>
      </c>
      <c r="P371">
        <v>2415</v>
      </c>
      <c r="Q371">
        <v>172</v>
      </c>
      <c r="R371" t="s">
        <v>1251</v>
      </c>
      <c r="S371" s="3" t="s">
        <v>117</v>
      </c>
      <c r="T371" s="3">
        <f t="shared" si="15"/>
        <v>1</v>
      </c>
      <c r="U371" t="s">
        <v>96</v>
      </c>
      <c r="V371" t="s">
        <v>142</v>
      </c>
      <c r="W371" t="s">
        <v>95</v>
      </c>
      <c r="X371">
        <v>0</v>
      </c>
      <c r="Y371" t="s">
        <v>41</v>
      </c>
      <c r="Z371" t="s">
        <v>92</v>
      </c>
      <c r="AA371" t="s">
        <v>63</v>
      </c>
      <c r="AB371" t="s">
        <v>317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 t="s">
        <v>1250</v>
      </c>
      <c r="AK371" t="s">
        <v>65</v>
      </c>
      <c r="AL371" t="s">
        <v>66</v>
      </c>
      <c r="AM371" t="str">
        <f t="shared" si="16"/>
        <v>2024-2027</v>
      </c>
      <c r="AN371">
        <f t="shared" si="17"/>
        <v>3</v>
      </c>
    </row>
    <row r="372" spans="1:40" x14ac:dyDescent="0.2">
      <c r="A372">
        <v>371</v>
      </c>
      <c r="B372" t="s">
        <v>1252</v>
      </c>
      <c r="C372" t="s">
        <v>1718</v>
      </c>
      <c r="D372" t="s">
        <v>72</v>
      </c>
      <c r="E372" t="s">
        <v>50</v>
      </c>
      <c r="F372" t="s">
        <v>76</v>
      </c>
      <c r="G372">
        <v>274</v>
      </c>
      <c r="H372">
        <v>110.236893143</v>
      </c>
      <c r="I372" t="s">
        <v>73</v>
      </c>
      <c r="J372">
        <v>207</v>
      </c>
      <c r="K372">
        <v>51.83830289199998</v>
      </c>
      <c r="L372">
        <v>45</v>
      </c>
      <c r="M372" t="s">
        <v>49</v>
      </c>
      <c r="N372">
        <v>179</v>
      </c>
      <c r="O372">
        <v>387</v>
      </c>
      <c r="P372">
        <v>7722</v>
      </c>
      <c r="Q372">
        <v>172</v>
      </c>
      <c r="R372" t="s">
        <v>1251</v>
      </c>
      <c r="S372" s="3" t="s">
        <v>117</v>
      </c>
      <c r="T372" s="3">
        <f t="shared" si="15"/>
        <v>1</v>
      </c>
      <c r="U372" t="s">
        <v>96</v>
      </c>
      <c r="V372" t="s">
        <v>142</v>
      </c>
      <c r="W372" t="s">
        <v>95</v>
      </c>
      <c r="X372">
        <v>0</v>
      </c>
      <c r="Y372" t="s">
        <v>41</v>
      </c>
      <c r="Z372" t="s">
        <v>92</v>
      </c>
      <c r="AA372" t="s">
        <v>63</v>
      </c>
      <c r="AB372" t="s">
        <v>317</v>
      </c>
      <c r="AC372">
        <v>1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 t="s">
        <v>1253</v>
      </c>
      <c r="AK372" t="s">
        <v>202</v>
      </c>
      <c r="AL372" t="s">
        <v>203</v>
      </c>
      <c r="AM372" t="str">
        <f t="shared" si="16"/>
        <v>2018-2020</v>
      </c>
      <c r="AN372">
        <f t="shared" si="17"/>
        <v>2</v>
      </c>
    </row>
    <row r="373" spans="1:40" x14ac:dyDescent="0.2">
      <c r="A373">
        <v>372</v>
      </c>
      <c r="B373" t="s">
        <v>1254</v>
      </c>
      <c r="C373" t="s">
        <v>1718</v>
      </c>
      <c r="D373" t="s">
        <v>114</v>
      </c>
      <c r="E373" t="s">
        <v>68</v>
      </c>
      <c r="F373" t="s">
        <v>84</v>
      </c>
      <c r="G373">
        <v>122</v>
      </c>
      <c r="H373">
        <v>53.917442970000003</v>
      </c>
      <c r="I373" t="s">
        <v>80</v>
      </c>
      <c r="J373">
        <v>97</v>
      </c>
      <c r="K373">
        <v>40.513354759999991</v>
      </c>
      <c r="L373">
        <v>25</v>
      </c>
      <c r="M373" t="s">
        <v>49</v>
      </c>
      <c r="N373">
        <v>63</v>
      </c>
      <c r="O373">
        <v>163</v>
      </c>
      <c r="P373">
        <v>1843</v>
      </c>
      <c r="Q373">
        <v>172</v>
      </c>
      <c r="R373" t="s">
        <v>1251</v>
      </c>
      <c r="S373" s="3" t="s">
        <v>117</v>
      </c>
      <c r="T373" s="3">
        <f t="shared" si="15"/>
        <v>1</v>
      </c>
      <c r="U373" t="s">
        <v>96</v>
      </c>
      <c r="V373" t="s">
        <v>142</v>
      </c>
      <c r="W373" t="s">
        <v>95</v>
      </c>
      <c r="X373">
        <v>0</v>
      </c>
      <c r="Y373" t="s">
        <v>41</v>
      </c>
      <c r="Z373" t="s">
        <v>92</v>
      </c>
      <c r="AA373" t="s">
        <v>63</v>
      </c>
      <c r="AB373" t="s">
        <v>317</v>
      </c>
      <c r="AC373">
        <v>2</v>
      </c>
      <c r="AD373">
        <v>0</v>
      </c>
      <c r="AE373">
        <v>0</v>
      </c>
      <c r="AF373">
        <v>0</v>
      </c>
      <c r="AG373">
        <v>1</v>
      </c>
      <c r="AH373">
        <v>1</v>
      </c>
      <c r="AI373">
        <v>0</v>
      </c>
      <c r="AJ373" t="s">
        <v>1255</v>
      </c>
      <c r="AK373" t="s">
        <v>213</v>
      </c>
      <c r="AL373" t="s">
        <v>214</v>
      </c>
      <c r="AM373" t="str">
        <f t="shared" si="16"/>
        <v>2020-2024</v>
      </c>
      <c r="AN373">
        <f t="shared" si="17"/>
        <v>4</v>
      </c>
    </row>
    <row r="374" spans="1:40" x14ac:dyDescent="0.2">
      <c r="A374">
        <v>373</v>
      </c>
      <c r="B374" t="s">
        <v>1256</v>
      </c>
      <c r="C374" t="s">
        <v>1718</v>
      </c>
      <c r="D374" t="s">
        <v>706</v>
      </c>
      <c r="E374" t="s">
        <v>68</v>
      </c>
      <c r="F374" t="s">
        <v>711</v>
      </c>
      <c r="G374">
        <v>175</v>
      </c>
      <c r="H374">
        <v>131.54367138000001</v>
      </c>
      <c r="I374" t="s">
        <v>710</v>
      </c>
      <c r="J374">
        <v>132</v>
      </c>
      <c r="K374">
        <v>38.463309535999997</v>
      </c>
      <c r="L374">
        <v>33</v>
      </c>
      <c r="M374" t="s">
        <v>49</v>
      </c>
      <c r="N374">
        <v>71</v>
      </c>
      <c r="O374">
        <v>186</v>
      </c>
      <c r="P374">
        <v>3995</v>
      </c>
      <c r="Q374">
        <v>172</v>
      </c>
      <c r="R374" t="s">
        <v>1251</v>
      </c>
      <c r="S374" s="3" t="s">
        <v>117</v>
      </c>
      <c r="T374" s="3">
        <f t="shared" si="15"/>
        <v>1</v>
      </c>
      <c r="U374" t="s">
        <v>96</v>
      </c>
      <c r="V374" t="s">
        <v>142</v>
      </c>
      <c r="W374" t="s">
        <v>95</v>
      </c>
      <c r="X374">
        <v>0</v>
      </c>
      <c r="Y374" t="s">
        <v>41</v>
      </c>
      <c r="Z374" t="s">
        <v>92</v>
      </c>
      <c r="AA374" t="s">
        <v>63</v>
      </c>
      <c r="AB374" t="s">
        <v>317</v>
      </c>
      <c r="AC374">
        <v>2</v>
      </c>
      <c r="AD374">
        <v>1</v>
      </c>
      <c r="AE374">
        <v>1</v>
      </c>
      <c r="AF374">
        <v>0</v>
      </c>
      <c r="AG374">
        <v>0</v>
      </c>
      <c r="AH374">
        <v>0</v>
      </c>
      <c r="AI374">
        <v>0</v>
      </c>
      <c r="AJ374" t="s">
        <v>1257</v>
      </c>
      <c r="AK374" t="s">
        <v>74</v>
      </c>
      <c r="AL374" t="s">
        <v>75</v>
      </c>
      <c r="AM374" t="str">
        <f t="shared" si="16"/>
        <v>2014-2018</v>
      </c>
      <c r="AN374">
        <f t="shared" si="17"/>
        <v>4</v>
      </c>
    </row>
    <row r="375" spans="1:40" x14ac:dyDescent="0.2">
      <c r="A375">
        <v>374</v>
      </c>
      <c r="B375" t="s">
        <v>1258</v>
      </c>
      <c r="C375" t="s">
        <v>1717</v>
      </c>
      <c r="D375" t="s">
        <v>706</v>
      </c>
      <c r="E375" t="s">
        <v>50</v>
      </c>
      <c r="F375" t="s">
        <v>715</v>
      </c>
      <c r="G375">
        <v>55</v>
      </c>
      <c r="H375">
        <v>41.357660550000013</v>
      </c>
      <c r="I375" t="s">
        <v>714</v>
      </c>
      <c r="J375">
        <v>44</v>
      </c>
      <c r="K375">
        <v>25.77188842</v>
      </c>
      <c r="L375">
        <v>12</v>
      </c>
      <c r="M375" t="s">
        <v>67</v>
      </c>
      <c r="N375">
        <v>18</v>
      </c>
      <c r="O375">
        <v>64</v>
      </c>
      <c r="P375">
        <v>604</v>
      </c>
      <c r="Q375">
        <v>173</v>
      </c>
      <c r="R375" t="s">
        <v>1260</v>
      </c>
      <c r="S375" s="3">
        <v>5</v>
      </c>
      <c r="T375" s="3">
        <f t="shared" si="15"/>
        <v>1</v>
      </c>
      <c r="U375" t="s">
        <v>96</v>
      </c>
      <c r="V375" t="s">
        <v>142</v>
      </c>
      <c r="W375" t="s">
        <v>95</v>
      </c>
      <c r="X375">
        <v>0</v>
      </c>
      <c r="Y375" t="s">
        <v>41</v>
      </c>
      <c r="Z375" t="s">
        <v>92</v>
      </c>
      <c r="AA375" t="s">
        <v>224</v>
      </c>
      <c r="AB375" t="s">
        <v>234</v>
      </c>
      <c r="AC375">
        <v>2</v>
      </c>
      <c r="AD375">
        <v>1</v>
      </c>
      <c r="AE375">
        <v>1</v>
      </c>
      <c r="AF375">
        <v>0</v>
      </c>
      <c r="AG375">
        <v>0</v>
      </c>
      <c r="AH375">
        <v>0</v>
      </c>
      <c r="AI375">
        <v>0</v>
      </c>
      <c r="AJ375" t="s">
        <v>1259</v>
      </c>
      <c r="AK375" t="s">
        <v>74</v>
      </c>
      <c r="AL375" t="s">
        <v>75</v>
      </c>
      <c r="AM375" t="str">
        <f t="shared" si="16"/>
        <v>2014-2018</v>
      </c>
      <c r="AN375">
        <f t="shared" si="17"/>
        <v>4</v>
      </c>
    </row>
    <row r="376" spans="1:40" x14ac:dyDescent="0.2">
      <c r="A376">
        <v>375</v>
      </c>
      <c r="B376" t="s">
        <v>1261</v>
      </c>
      <c r="C376" t="s">
        <v>1717</v>
      </c>
      <c r="D376" t="s">
        <v>706</v>
      </c>
      <c r="E376" t="s">
        <v>68</v>
      </c>
      <c r="F376" t="s">
        <v>1264</v>
      </c>
      <c r="G376">
        <v>266</v>
      </c>
      <c r="H376">
        <v>137.84201933000011</v>
      </c>
      <c r="I376" t="s">
        <v>1263</v>
      </c>
      <c r="J376">
        <v>151</v>
      </c>
      <c r="K376">
        <v>50.612022340000003</v>
      </c>
      <c r="L376">
        <v>30</v>
      </c>
      <c r="M376" t="s">
        <v>49</v>
      </c>
      <c r="N376">
        <v>67</v>
      </c>
      <c r="O376">
        <v>350</v>
      </c>
      <c r="P376">
        <v>3840</v>
      </c>
      <c r="Q376">
        <v>173</v>
      </c>
      <c r="R376" t="s">
        <v>1260</v>
      </c>
      <c r="S376" s="3">
        <v>5</v>
      </c>
      <c r="T376" s="3">
        <f t="shared" si="15"/>
        <v>1</v>
      </c>
      <c r="U376" t="s">
        <v>96</v>
      </c>
      <c r="V376" t="s">
        <v>142</v>
      </c>
      <c r="W376" t="s">
        <v>95</v>
      </c>
      <c r="X376">
        <v>0</v>
      </c>
      <c r="Y376" t="s">
        <v>41</v>
      </c>
      <c r="Z376" t="s">
        <v>92</v>
      </c>
      <c r="AA376" t="s">
        <v>224</v>
      </c>
      <c r="AB376" t="s">
        <v>234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 t="s">
        <v>1262</v>
      </c>
      <c r="AK376" t="s">
        <v>125</v>
      </c>
      <c r="AL376" t="s">
        <v>126</v>
      </c>
      <c r="AM376" t="str">
        <f t="shared" si="16"/>
        <v>2022-2024</v>
      </c>
      <c r="AN376">
        <f t="shared" si="17"/>
        <v>2</v>
      </c>
    </row>
    <row r="377" spans="1:40" x14ac:dyDescent="0.2">
      <c r="A377">
        <v>376</v>
      </c>
      <c r="B377" t="s">
        <v>1265</v>
      </c>
      <c r="C377" t="s">
        <v>1718</v>
      </c>
      <c r="D377" t="s">
        <v>72</v>
      </c>
      <c r="E377" t="s">
        <v>68</v>
      </c>
      <c r="F377" t="s">
        <v>298</v>
      </c>
      <c r="G377">
        <v>15</v>
      </c>
      <c r="H377">
        <v>6.1996579499999989</v>
      </c>
      <c r="I377" t="s">
        <v>295</v>
      </c>
      <c r="J377">
        <v>6</v>
      </c>
      <c r="K377">
        <v>2.5809391399999999</v>
      </c>
      <c r="L377">
        <v>4</v>
      </c>
      <c r="M377" t="s">
        <v>97</v>
      </c>
      <c r="N377">
        <v>3</v>
      </c>
      <c r="O377">
        <v>23</v>
      </c>
      <c r="P377">
        <v>210</v>
      </c>
      <c r="Q377">
        <v>174</v>
      </c>
      <c r="R377" t="s">
        <v>1267</v>
      </c>
      <c r="S377" s="3">
        <v>4</v>
      </c>
      <c r="T377" s="3">
        <f t="shared" si="15"/>
        <v>1</v>
      </c>
      <c r="U377" t="s">
        <v>96</v>
      </c>
      <c r="V377" t="s">
        <v>142</v>
      </c>
      <c r="W377" t="s">
        <v>95</v>
      </c>
      <c r="X377">
        <v>0</v>
      </c>
      <c r="Y377" t="s">
        <v>41</v>
      </c>
      <c r="Z377" t="s">
        <v>92</v>
      </c>
      <c r="AA377" t="s">
        <v>360</v>
      </c>
      <c r="AB377" t="s">
        <v>488</v>
      </c>
      <c r="AC377">
        <v>3</v>
      </c>
      <c r="AD377">
        <v>0</v>
      </c>
      <c r="AE377">
        <v>0</v>
      </c>
      <c r="AF377">
        <v>0</v>
      </c>
      <c r="AG377">
        <v>1</v>
      </c>
      <c r="AH377">
        <v>1</v>
      </c>
      <c r="AI377">
        <v>1</v>
      </c>
      <c r="AJ377" t="s">
        <v>1266</v>
      </c>
      <c r="AK377" t="s">
        <v>269</v>
      </c>
      <c r="AL377" t="s">
        <v>270</v>
      </c>
      <c r="AM377" t="str">
        <f t="shared" si="16"/>
        <v>2020-2027</v>
      </c>
      <c r="AN377">
        <f t="shared" si="17"/>
        <v>7</v>
      </c>
    </row>
    <row r="378" spans="1:40" x14ac:dyDescent="0.2">
      <c r="A378">
        <v>377</v>
      </c>
      <c r="B378" t="s">
        <v>1268</v>
      </c>
      <c r="C378" t="s">
        <v>1717</v>
      </c>
      <c r="D378" t="s">
        <v>72</v>
      </c>
      <c r="E378" t="s">
        <v>68</v>
      </c>
      <c r="F378" t="s">
        <v>362</v>
      </c>
      <c r="G378">
        <v>59</v>
      </c>
      <c r="H378">
        <v>37.015374600000008</v>
      </c>
      <c r="I378" t="s">
        <v>357</v>
      </c>
      <c r="J378">
        <v>34</v>
      </c>
      <c r="K378">
        <v>9.8375487499999998</v>
      </c>
      <c r="L378">
        <v>16</v>
      </c>
      <c r="M378" t="s">
        <v>67</v>
      </c>
      <c r="N378">
        <v>22</v>
      </c>
      <c r="O378">
        <v>63</v>
      </c>
      <c r="P378">
        <v>849</v>
      </c>
      <c r="Q378">
        <v>174</v>
      </c>
      <c r="R378" t="s">
        <v>1267</v>
      </c>
      <c r="S378" s="3">
        <v>4</v>
      </c>
      <c r="T378" s="3">
        <f t="shared" si="15"/>
        <v>1</v>
      </c>
      <c r="U378" t="s">
        <v>96</v>
      </c>
      <c r="V378" t="s">
        <v>142</v>
      </c>
      <c r="W378" t="s">
        <v>95</v>
      </c>
      <c r="X378">
        <v>0</v>
      </c>
      <c r="Y378" t="s">
        <v>41</v>
      </c>
      <c r="Z378" t="s">
        <v>92</v>
      </c>
      <c r="AA378" t="s">
        <v>360</v>
      </c>
      <c r="AB378" t="s">
        <v>488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 t="s">
        <v>1269</v>
      </c>
      <c r="AK378" t="s">
        <v>125</v>
      </c>
      <c r="AL378" t="s">
        <v>126</v>
      </c>
      <c r="AM378" t="str">
        <f t="shared" si="16"/>
        <v>2022-2024</v>
      </c>
      <c r="AN378">
        <f t="shared" si="17"/>
        <v>2</v>
      </c>
    </row>
    <row r="379" spans="1:40" x14ac:dyDescent="0.2">
      <c r="A379">
        <v>378</v>
      </c>
      <c r="B379" t="s">
        <v>1270</v>
      </c>
      <c r="C379" t="s">
        <v>1717</v>
      </c>
      <c r="D379" t="s">
        <v>186</v>
      </c>
      <c r="E379" t="s">
        <v>98</v>
      </c>
      <c r="F379" t="s">
        <v>99</v>
      </c>
      <c r="G379">
        <v>41</v>
      </c>
      <c r="H379">
        <v>14.45606405</v>
      </c>
      <c r="I379" t="s">
        <v>88</v>
      </c>
      <c r="J379">
        <v>43</v>
      </c>
      <c r="K379">
        <v>23.98754117</v>
      </c>
      <c r="L379">
        <v>3</v>
      </c>
      <c r="M379" t="s">
        <v>97</v>
      </c>
      <c r="N379">
        <v>1</v>
      </c>
      <c r="O379">
        <v>61</v>
      </c>
      <c r="P379">
        <v>31</v>
      </c>
      <c r="Q379">
        <v>174</v>
      </c>
      <c r="R379" t="s">
        <v>1267</v>
      </c>
      <c r="S379" s="3">
        <v>4</v>
      </c>
      <c r="T379" s="3">
        <f t="shared" si="15"/>
        <v>1</v>
      </c>
      <c r="U379" t="s">
        <v>96</v>
      </c>
      <c r="V379" t="s">
        <v>142</v>
      </c>
      <c r="W379" t="s">
        <v>95</v>
      </c>
      <c r="X379">
        <v>0</v>
      </c>
      <c r="Y379" t="s">
        <v>41</v>
      </c>
      <c r="Z379" t="s">
        <v>92</v>
      </c>
      <c r="AA379" t="s">
        <v>360</v>
      </c>
      <c r="AB379" t="s">
        <v>488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 t="s">
        <v>1271</v>
      </c>
      <c r="AK379" t="s">
        <v>65</v>
      </c>
      <c r="AL379" t="s">
        <v>66</v>
      </c>
      <c r="AM379" t="str">
        <f t="shared" si="16"/>
        <v>2024-2027</v>
      </c>
      <c r="AN379">
        <f t="shared" si="17"/>
        <v>3</v>
      </c>
    </row>
    <row r="380" spans="1:40" x14ac:dyDescent="0.2">
      <c r="A380">
        <v>379</v>
      </c>
      <c r="B380" t="s">
        <v>1272</v>
      </c>
      <c r="C380" t="s">
        <v>1718</v>
      </c>
      <c r="D380" t="s">
        <v>72</v>
      </c>
      <c r="E380" t="s">
        <v>68</v>
      </c>
      <c r="F380" t="s">
        <v>386</v>
      </c>
      <c r="G380">
        <v>11</v>
      </c>
      <c r="H380">
        <v>2.731960149999999</v>
      </c>
      <c r="I380" t="s">
        <v>385</v>
      </c>
      <c r="J380">
        <v>9</v>
      </c>
      <c r="K380">
        <v>5.0687528099999994</v>
      </c>
      <c r="L380">
        <v>3</v>
      </c>
      <c r="M380" t="s">
        <v>97</v>
      </c>
      <c r="N380">
        <v>2</v>
      </c>
      <c r="O380">
        <v>14</v>
      </c>
      <c r="P380">
        <v>36</v>
      </c>
      <c r="Q380">
        <v>175</v>
      </c>
      <c r="R380" t="s">
        <v>1274</v>
      </c>
      <c r="S380" s="3" t="s">
        <v>90</v>
      </c>
      <c r="T380" s="3">
        <f t="shared" si="15"/>
        <v>1</v>
      </c>
      <c r="U380" t="s">
        <v>96</v>
      </c>
      <c r="V380" t="s">
        <v>142</v>
      </c>
      <c r="W380" t="s">
        <v>95</v>
      </c>
      <c r="X380">
        <v>0</v>
      </c>
      <c r="Y380" t="s">
        <v>41</v>
      </c>
      <c r="Z380" t="s">
        <v>92</v>
      </c>
      <c r="AA380" t="s">
        <v>191</v>
      </c>
      <c r="AB380" t="s">
        <v>443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</v>
      </c>
      <c r="AJ380" t="s">
        <v>1273</v>
      </c>
      <c r="AK380" t="s">
        <v>65</v>
      </c>
      <c r="AL380" t="s">
        <v>66</v>
      </c>
      <c r="AM380" t="str">
        <f t="shared" si="16"/>
        <v>2024-2027</v>
      </c>
      <c r="AN380">
        <f t="shared" si="17"/>
        <v>3</v>
      </c>
    </row>
    <row r="381" spans="1:40" x14ac:dyDescent="0.2">
      <c r="A381">
        <v>380</v>
      </c>
      <c r="B381" t="s">
        <v>1275</v>
      </c>
      <c r="C381" t="s">
        <v>1718</v>
      </c>
      <c r="D381" t="s">
        <v>231</v>
      </c>
      <c r="E381" t="s">
        <v>98</v>
      </c>
      <c r="F381" t="s">
        <v>99</v>
      </c>
      <c r="G381">
        <v>10</v>
      </c>
      <c r="H381">
        <v>3.5957129000000001</v>
      </c>
      <c r="I381" t="s">
        <v>88</v>
      </c>
      <c r="J381">
        <v>8</v>
      </c>
      <c r="K381">
        <v>4.2376831299999997</v>
      </c>
      <c r="L381">
        <v>5</v>
      </c>
      <c r="M381" t="s">
        <v>119</v>
      </c>
      <c r="N381">
        <v>3</v>
      </c>
      <c r="O381">
        <v>16</v>
      </c>
      <c r="P381">
        <v>62</v>
      </c>
      <c r="Q381">
        <v>176</v>
      </c>
      <c r="R381" t="s">
        <v>1277</v>
      </c>
      <c r="S381" s="3" t="s">
        <v>90</v>
      </c>
      <c r="T381" s="3">
        <f t="shared" si="15"/>
        <v>1</v>
      </c>
      <c r="U381" t="s">
        <v>96</v>
      </c>
      <c r="V381" t="s">
        <v>142</v>
      </c>
      <c r="W381" t="s">
        <v>95</v>
      </c>
      <c r="X381">
        <v>0</v>
      </c>
      <c r="Y381" t="s">
        <v>41</v>
      </c>
      <c r="Z381" t="s">
        <v>92</v>
      </c>
      <c r="AA381" t="s">
        <v>360</v>
      </c>
      <c r="AB381" t="s">
        <v>1073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 t="s">
        <v>1276</v>
      </c>
      <c r="AK381" t="s">
        <v>65</v>
      </c>
      <c r="AL381" t="s">
        <v>66</v>
      </c>
      <c r="AM381" t="str">
        <f t="shared" si="16"/>
        <v>2024-2027</v>
      </c>
      <c r="AN381">
        <f t="shared" si="17"/>
        <v>3</v>
      </c>
    </row>
    <row r="382" spans="1:40" x14ac:dyDescent="0.2">
      <c r="A382">
        <v>381</v>
      </c>
      <c r="B382" t="s">
        <v>1278</v>
      </c>
      <c r="C382" t="s">
        <v>1718</v>
      </c>
      <c r="D382" t="s">
        <v>72</v>
      </c>
      <c r="E382" t="s">
        <v>98</v>
      </c>
      <c r="F382" t="s">
        <v>99</v>
      </c>
      <c r="G382">
        <v>25</v>
      </c>
      <c r="H382">
        <v>14.561073445</v>
      </c>
      <c r="I382" t="s">
        <v>88</v>
      </c>
      <c r="J382">
        <v>14</v>
      </c>
      <c r="K382">
        <v>6.5147863299999997</v>
      </c>
      <c r="L382">
        <v>8</v>
      </c>
      <c r="M382" t="s">
        <v>119</v>
      </c>
      <c r="N382">
        <v>7</v>
      </c>
      <c r="O382">
        <v>52</v>
      </c>
      <c r="P382">
        <v>157</v>
      </c>
      <c r="Q382">
        <v>176</v>
      </c>
      <c r="R382" t="s">
        <v>1277</v>
      </c>
      <c r="S382" s="3" t="s">
        <v>90</v>
      </c>
      <c r="T382" s="3">
        <f t="shared" si="15"/>
        <v>1</v>
      </c>
      <c r="U382" t="s">
        <v>96</v>
      </c>
      <c r="V382" t="s">
        <v>142</v>
      </c>
      <c r="W382" t="s">
        <v>95</v>
      </c>
      <c r="X382">
        <v>0</v>
      </c>
      <c r="Y382" t="s">
        <v>41</v>
      </c>
      <c r="Z382" t="s">
        <v>92</v>
      </c>
      <c r="AA382" t="s">
        <v>360</v>
      </c>
      <c r="AB382" t="s">
        <v>1073</v>
      </c>
      <c r="AC382">
        <v>2</v>
      </c>
      <c r="AD382">
        <v>0</v>
      </c>
      <c r="AE382">
        <v>0</v>
      </c>
      <c r="AF382">
        <v>0</v>
      </c>
      <c r="AG382">
        <v>1</v>
      </c>
      <c r="AH382">
        <v>1</v>
      </c>
      <c r="AI382">
        <v>0</v>
      </c>
      <c r="AJ382" t="s">
        <v>1279</v>
      </c>
      <c r="AK382" t="s">
        <v>213</v>
      </c>
      <c r="AL382" t="s">
        <v>214</v>
      </c>
      <c r="AM382" t="str">
        <f t="shared" si="16"/>
        <v>2020-2024</v>
      </c>
      <c r="AN382">
        <f t="shared" si="17"/>
        <v>4</v>
      </c>
    </row>
    <row r="383" spans="1:40" x14ac:dyDescent="0.2">
      <c r="A383">
        <v>382</v>
      </c>
      <c r="B383" t="s">
        <v>1280</v>
      </c>
      <c r="C383" t="s">
        <v>1718</v>
      </c>
      <c r="D383" t="s">
        <v>231</v>
      </c>
      <c r="E383" t="s">
        <v>68</v>
      </c>
      <c r="F383" t="s">
        <v>493</v>
      </c>
      <c r="G383">
        <v>1</v>
      </c>
      <c r="H383">
        <v>0.54172872999999999</v>
      </c>
      <c r="I383" t="s">
        <v>492</v>
      </c>
      <c r="J383">
        <v>1</v>
      </c>
      <c r="K383">
        <v>0.47741424999999998</v>
      </c>
      <c r="L383">
        <v>1</v>
      </c>
      <c r="M383" t="s">
        <v>137</v>
      </c>
      <c r="N383">
        <v>0</v>
      </c>
      <c r="O383">
        <v>2</v>
      </c>
      <c r="P383">
        <v>3</v>
      </c>
      <c r="Q383">
        <v>176</v>
      </c>
      <c r="R383" t="s">
        <v>1277</v>
      </c>
      <c r="S383" s="3" t="s">
        <v>90</v>
      </c>
      <c r="T383" s="3">
        <f t="shared" si="15"/>
        <v>1</v>
      </c>
      <c r="U383" t="s">
        <v>96</v>
      </c>
      <c r="V383" t="s">
        <v>142</v>
      </c>
      <c r="W383" t="s">
        <v>95</v>
      </c>
      <c r="X383">
        <v>0</v>
      </c>
      <c r="Y383" t="s">
        <v>41</v>
      </c>
      <c r="Z383" t="s">
        <v>92</v>
      </c>
      <c r="AA383" t="s">
        <v>360</v>
      </c>
      <c r="AB383" t="s">
        <v>1073</v>
      </c>
      <c r="AC383">
        <v>1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 t="s">
        <v>1281</v>
      </c>
      <c r="AK383" t="s">
        <v>202</v>
      </c>
      <c r="AL383" t="s">
        <v>203</v>
      </c>
      <c r="AM383" t="str">
        <f t="shared" si="16"/>
        <v>2018-2020</v>
      </c>
      <c r="AN383">
        <f t="shared" si="17"/>
        <v>2</v>
      </c>
    </row>
    <row r="384" spans="1:40" x14ac:dyDescent="0.2">
      <c r="A384">
        <v>383</v>
      </c>
      <c r="B384" t="s">
        <v>1282</v>
      </c>
      <c r="C384" t="s">
        <v>1718</v>
      </c>
      <c r="D384" t="s">
        <v>79</v>
      </c>
      <c r="E384" t="s">
        <v>68</v>
      </c>
      <c r="F384" t="s">
        <v>890</v>
      </c>
      <c r="G384">
        <v>33</v>
      </c>
      <c r="H384">
        <v>16.3210126</v>
      </c>
      <c r="I384" t="s">
        <v>888</v>
      </c>
      <c r="J384">
        <v>32</v>
      </c>
      <c r="K384">
        <v>15.47369205</v>
      </c>
      <c r="L384">
        <v>11</v>
      </c>
      <c r="M384" t="s">
        <v>67</v>
      </c>
      <c r="N384">
        <v>14</v>
      </c>
      <c r="O384">
        <v>58</v>
      </c>
      <c r="P384">
        <v>456</v>
      </c>
      <c r="Q384">
        <v>176</v>
      </c>
      <c r="R384" t="s">
        <v>1277</v>
      </c>
      <c r="S384" s="3" t="s">
        <v>90</v>
      </c>
      <c r="T384" s="3">
        <f t="shared" si="15"/>
        <v>1</v>
      </c>
      <c r="U384" t="s">
        <v>96</v>
      </c>
      <c r="V384" t="s">
        <v>142</v>
      </c>
      <c r="W384" t="s">
        <v>95</v>
      </c>
      <c r="X384">
        <v>0</v>
      </c>
      <c r="Y384" t="s">
        <v>41</v>
      </c>
      <c r="Z384" t="s">
        <v>92</v>
      </c>
      <c r="AA384" t="s">
        <v>360</v>
      </c>
      <c r="AB384" t="s">
        <v>1073</v>
      </c>
      <c r="AC384">
        <v>1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 t="s">
        <v>1283</v>
      </c>
      <c r="AK384" t="s">
        <v>320</v>
      </c>
      <c r="AL384" t="s">
        <v>321</v>
      </c>
      <c r="AM384" t="str">
        <f t="shared" si="16"/>
        <v>2016-2018</v>
      </c>
      <c r="AN384">
        <f t="shared" si="17"/>
        <v>2</v>
      </c>
    </row>
    <row r="385" spans="1:40" x14ac:dyDescent="0.2">
      <c r="A385">
        <v>384</v>
      </c>
      <c r="B385" t="s">
        <v>1284</v>
      </c>
      <c r="C385" t="s">
        <v>1717</v>
      </c>
      <c r="D385" t="s">
        <v>114</v>
      </c>
      <c r="E385" t="s">
        <v>50</v>
      </c>
      <c r="F385" t="s">
        <v>120</v>
      </c>
      <c r="G385">
        <v>84</v>
      </c>
      <c r="H385">
        <v>35.070117749999987</v>
      </c>
      <c r="I385" t="s">
        <v>115</v>
      </c>
      <c r="J385">
        <v>64</v>
      </c>
      <c r="K385">
        <v>3.8960186590000001</v>
      </c>
      <c r="L385">
        <v>28</v>
      </c>
      <c r="M385" t="s">
        <v>49</v>
      </c>
      <c r="N385">
        <v>54</v>
      </c>
      <c r="O385">
        <v>96</v>
      </c>
      <c r="P385">
        <v>2381</v>
      </c>
      <c r="Q385">
        <v>177</v>
      </c>
      <c r="R385" t="s">
        <v>1286</v>
      </c>
      <c r="S385" s="3" t="s">
        <v>117</v>
      </c>
      <c r="T385" s="3">
        <f t="shared" si="15"/>
        <v>1</v>
      </c>
      <c r="U385" t="s">
        <v>96</v>
      </c>
      <c r="V385" t="s">
        <v>142</v>
      </c>
      <c r="W385" t="s">
        <v>95</v>
      </c>
      <c r="X385">
        <v>0</v>
      </c>
      <c r="Y385" t="s">
        <v>41</v>
      </c>
      <c r="Z385" t="s">
        <v>92</v>
      </c>
      <c r="AA385" t="s">
        <v>224</v>
      </c>
      <c r="AB385" t="s">
        <v>346</v>
      </c>
      <c r="AC385">
        <v>2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1</v>
      </c>
      <c r="AJ385" t="s">
        <v>1285</v>
      </c>
      <c r="AK385" t="s">
        <v>55</v>
      </c>
      <c r="AL385" t="s">
        <v>56</v>
      </c>
      <c r="AM385" t="str">
        <f t="shared" si="16"/>
        <v>2022-2027</v>
      </c>
      <c r="AN385">
        <f t="shared" si="17"/>
        <v>5</v>
      </c>
    </row>
    <row r="386" spans="1:40" x14ac:dyDescent="0.2">
      <c r="A386">
        <v>385</v>
      </c>
      <c r="B386" t="s">
        <v>1287</v>
      </c>
      <c r="C386" t="s">
        <v>1717</v>
      </c>
      <c r="D386" t="s">
        <v>72</v>
      </c>
      <c r="E386" t="s">
        <v>68</v>
      </c>
      <c r="F386" t="s">
        <v>1290</v>
      </c>
      <c r="G386">
        <v>1</v>
      </c>
      <c r="H386">
        <v>0.36426657000000001</v>
      </c>
      <c r="I386" t="s">
        <v>1289</v>
      </c>
      <c r="J386">
        <v>1</v>
      </c>
      <c r="K386">
        <v>0.71254205999999998</v>
      </c>
      <c r="L386">
        <v>1</v>
      </c>
      <c r="M386" t="s">
        <v>137</v>
      </c>
      <c r="N386">
        <v>1</v>
      </c>
      <c r="O386">
        <v>1</v>
      </c>
      <c r="P386">
        <v>12</v>
      </c>
      <c r="Q386">
        <v>177</v>
      </c>
      <c r="R386" t="s">
        <v>1286</v>
      </c>
      <c r="S386" s="3" t="s">
        <v>117</v>
      </c>
      <c r="T386" s="3">
        <f t="shared" si="15"/>
        <v>1</v>
      </c>
      <c r="U386" t="s">
        <v>96</v>
      </c>
      <c r="V386" t="s">
        <v>142</v>
      </c>
      <c r="W386" t="s">
        <v>95</v>
      </c>
      <c r="X386">
        <v>0</v>
      </c>
      <c r="Y386" t="s">
        <v>41</v>
      </c>
      <c r="Z386" t="s">
        <v>92</v>
      </c>
      <c r="AA386" t="s">
        <v>224</v>
      </c>
      <c r="AB386" t="s">
        <v>346</v>
      </c>
      <c r="AC386">
        <v>1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 t="s">
        <v>1288</v>
      </c>
      <c r="AK386" t="s">
        <v>93</v>
      </c>
      <c r="AL386" t="s">
        <v>94</v>
      </c>
      <c r="AM386" t="str">
        <f t="shared" si="16"/>
        <v>2020-2021</v>
      </c>
      <c r="AN386">
        <f t="shared" si="17"/>
        <v>1</v>
      </c>
    </row>
    <row r="387" spans="1:40" x14ac:dyDescent="0.2">
      <c r="A387">
        <v>386</v>
      </c>
      <c r="B387" t="s">
        <v>1291</v>
      </c>
      <c r="C387" t="s">
        <v>1717</v>
      </c>
      <c r="D387" t="s">
        <v>102</v>
      </c>
      <c r="E387" t="s">
        <v>68</v>
      </c>
      <c r="F387" t="s">
        <v>1294</v>
      </c>
      <c r="G387">
        <v>2</v>
      </c>
      <c r="H387">
        <v>0.42186372999999999</v>
      </c>
      <c r="I387" t="s">
        <v>1293</v>
      </c>
      <c r="J387">
        <v>1</v>
      </c>
      <c r="K387">
        <v>0.63748099999999996</v>
      </c>
      <c r="L387">
        <v>2</v>
      </c>
      <c r="M387" t="s">
        <v>97</v>
      </c>
      <c r="N387">
        <v>1</v>
      </c>
      <c r="O387">
        <v>2</v>
      </c>
      <c r="P387">
        <v>15</v>
      </c>
      <c r="Q387">
        <v>177</v>
      </c>
      <c r="R387" t="s">
        <v>1286</v>
      </c>
      <c r="S387" s="3" t="s">
        <v>117</v>
      </c>
      <c r="T387" s="3">
        <f t="shared" ref="T387:T450" si="18">IF(OR(S387="Sem IGC", ISBLANK(S387)), 0, 1)</f>
        <v>1</v>
      </c>
      <c r="U387" t="s">
        <v>96</v>
      </c>
      <c r="V387" t="s">
        <v>142</v>
      </c>
      <c r="W387" t="s">
        <v>95</v>
      </c>
      <c r="X387">
        <v>0</v>
      </c>
      <c r="Y387" t="s">
        <v>41</v>
      </c>
      <c r="Z387" t="s">
        <v>92</v>
      </c>
      <c r="AA387" t="s">
        <v>224</v>
      </c>
      <c r="AB387" t="s">
        <v>346</v>
      </c>
      <c r="AC387">
        <v>2</v>
      </c>
      <c r="AD387">
        <v>0</v>
      </c>
      <c r="AE387">
        <v>1</v>
      </c>
      <c r="AF387">
        <v>1</v>
      </c>
      <c r="AG387">
        <v>0</v>
      </c>
      <c r="AH387">
        <v>0</v>
      </c>
      <c r="AI387">
        <v>0</v>
      </c>
      <c r="AJ387" t="s">
        <v>1292</v>
      </c>
      <c r="AK387" t="s">
        <v>156</v>
      </c>
      <c r="AL387" t="s">
        <v>157</v>
      </c>
      <c r="AM387" t="str">
        <f t="shared" ref="AM387:AM450" si="19">LEFT(AL387,4) &amp; "-" &amp; RIGHT(AL387,4)</f>
        <v>2016-2020</v>
      </c>
      <c r="AN387">
        <f t="shared" ref="AN387:AN450" si="20">VALUE(RIGHT(AL387,4)) - VALUE(LEFT(AL387,4))</f>
        <v>4</v>
      </c>
    </row>
    <row r="388" spans="1:40" x14ac:dyDescent="0.2">
      <c r="A388">
        <v>387</v>
      </c>
      <c r="B388" t="s">
        <v>1295</v>
      </c>
      <c r="C388" t="s">
        <v>1717</v>
      </c>
      <c r="D388" t="s">
        <v>60</v>
      </c>
      <c r="E388" t="s">
        <v>150</v>
      </c>
      <c r="F388" t="s">
        <v>151</v>
      </c>
      <c r="G388">
        <v>100</v>
      </c>
      <c r="H388">
        <v>43.545535401000002</v>
      </c>
      <c r="I388" t="s">
        <v>140</v>
      </c>
      <c r="J388">
        <v>92</v>
      </c>
      <c r="K388">
        <v>36.185549945999973</v>
      </c>
      <c r="L388">
        <v>36</v>
      </c>
      <c r="M388" t="s">
        <v>49</v>
      </c>
      <c r="N388">
        <v>81</v>
      </c>
      <c r="O388">
        <v>135</v>
      </c>
      <c r="P388">
        <v>4271</v>
      </c>
      <c r="Q388">
        <v>177</v>
      </c>
      <c r="R388" t="s">
        <v>1286</v>
      </c>
      <c r="S388" s="3" t="s">
        <v>117</v>
      </c>
      <c r="T388" s="3">
        <f t="shared" si="18"/>
        <v>1</v>
      </c>
      <c r="U388" t="s">
        <v>96</v>
      </c>
      <c r="V388" t="s">
        <v>142</v>
      </c>
      <c r="W388" t="s">
        <v>95</v>
      </c>
      <c r="X388">
        <v>0</v>
      </c>
      <c r="Y388" t="s">
        <v>41</v>
      </c>
      <c r="Z388" t="s">
        <v>92</v>
      </c>
      <c r="AA388" t="s">
        <v>224</v>
      </c>
      <c r="AB388" t="s">
        <v>346</v>
      </c>
      <c r="AC388">
        <v>2</v>
      </c>
      <c r="AD388">
        <v>1</v>
      </c>
      <c r="AE388">
        <v>1</v>
      </c>
      <c r="AF388">
        <v>0</v>
      </c>
      <c r="AG388">
        <v>0</v>
      </c>
      <c r="AH388">
        <v>0</v>
      </c>
      <c r="AI388">
        <v>0</v>
      </c>
      <c r="AJ388" t="s">
        <v>1296</v>
      </c>
      <c r="AK388" t="s">
        <v>82</v>
      </c>
      <c r="AL388" t="s">
        <v>83</v>
      </c>
      <c r="AM388" t="str">
        <f t="shared" si="19"/>
        <v>2014-2016</v>
      </c>
      <c r="AN388">
        <f t="shared" si="20"/>
        <v>2</v>
      </c>
    </row>
    <row r="389" spans="1:40" x14ac:dyDescent="0.2">
      <c r="A389">
        <v>388</v>
      </c>
      <c r="B389" t="s">
        <v>1297</v>
      </c>
      <c r="C389" t="s">
        <v>1717</v>
      </c>
      <c r="D389" t="s">
        <v>114</v>
      </c>
      <c r="E389" t="s">
        <v>68</v>
      </c>
      <c r="F389" t="s">
        <v>1301</v>
      </c>
      <c r="G389">
        <v>186</v>
      </c>
      <c r="H389">
        <v>73.20800316399999</v>
      </c>
      <c r="I389" t="s">
        <v>1299</v>
      </c>
      <c r="J389">
        <v>118</v>
      </c>
      <c r="K389">
        <v>51.856096750000013</v>
      </c>
      <c r="L389">
        <v>24</v>
      </c>
      <c r="M389" t="s">
        <v>49</v>
      </c>
      <c r="N389">
        <v>58</v>
      </c>
      <c r="O389">
        <v>221</v>
      </c>
      <c r="P389">
        <v>2217</v>
      </c>
      <c r="Q389">
        <v>178</v>
      </c>
      <c r="R389" t="s">
        <v>1300</v>
      </c>
      <c r="S389" s="3" t="s">
        <v>117</v>
      </c>
      <c r="T389" s="3">
        <f t="shared" si="18"/>
        <v>1</v>
      </c>
      <c r="U389" t="s">
        <v>96</v>
      </c>
      <c r="V389" t="s">
        <v>142</v>
      </c>
      <c r="W389" t="s">
        <v>95</v>
      </c>
      <c r="X389">
        <v>0</v>
      </c>
      <c r="Y389" t="s">
        <v>41</v>
      </c>
      <c r="Z389" t="s">
        <v>92</v>
      </c>
      <c r="AA389" t="s">
        <v>224</v>
      </c>
      <c r="AB389" t="s">
        <v>234</v>
      </c>
      <c r="AC389">
        <v>4</v>
      </c>
      <c r="AD389">
        <v>1</v>
      </c>
      <c r="AE389">
        <v>1</v>
      </c>
      <c r="AF389">
        <v>1</v>
      </c>
      <c r="AG389">
        <v>1</v>
      </c>
      <c r="AH389">
        <v>0</v>
      </c>
      <c r="AI389">
        <v>0</v>
      </c>
      <c r="AJ389" t="s">
        <v>1298</v>
      </c>
      <c r="AK389" t="s">
        <v>45</v>
      </c>
      <c r="AL389" t="s">
        <v>46</v>
      </c>
      <c r="AM389" t="str">
        <f t="shared" si="19"/>
        <v>2014-2021</v>
      </c>
      <c r="AN389">
        <f t="shared" si="20"/>
        <v>7</v>
      </c>
    </row>
    <row r="390" spans="1:40" x14ac:dyDescent="0.2">
      <c r="A390">
        <v>389</v>
      </c>
      <c r="B390" t="s">
        <v>1302</v>
      </c>
      <c r="C390" t="s">
        <v>1718</v>
      </c>
      <c r="D390" t="s">
        <v>285</v>
      </c>
      <c r="E390" t="s">
        <v>68</v>
      </c>
      <c r="F390" t="s">
        <v>755</v>
      </c>
      <c r="G390">
        <v>4</v>
      </c>
      <c r="H390">
        <v>1.6972838100000001</v>
      </c>
      <c r="I390" t="s">
        <v>751</v>
      </c>
      <c r="J390">
        <v>3</v>
      </c>
      <c r="K390">
        <v>1.3626718600000001</v>
      </c>
      <c r="L390">
        <v>2</v>
      </c>
      <c r="M390" t="s">
        <v>97</v>
      </c>
      <c r="N390">
        <v>0</v>
      </c>
      <c r="O390">
        <v>5</v>
      </c>
      <c r="P390">
        <v>8</v>
      </c>
      <c r="Q390">
        <v>178</v>
      </c>
      <c r="R390" t="s">
        <v>1300</v>
      </c>
      <c r="S390" s="3" t="s">
        <v>117</v>
      </c>
      <c r="T390" s="3">
        <f t="shared" si="18"/>
        <v>1</v>
      </c>
      <c r="U390" t="s">
        <v>96</v>
      </c>
      <c r="V390" t="s">
        <v>142</v>
      </c>
      <c r="W390" t="s">
        <v>95</v>
      </c>
      <c r="X390">
        <v>0</v>
      </c>
      <c r="Y390" t="s">
        <v>41</v>
      </c>
      <c r="Z390" t="s">
        <v>92</v>
      </c>
      <c r="AA390" t="s">
        <v>224</v>
      </c>
      <c r="AB390" t="s">
        <v>234</v>
      </c>
      <c r="AC390">
        <v>2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1</v>
      </c>
      <c r="AJ390" t="s">
        <v>1303</v>
      </c>
      <c r="AK390" t="s">
        <v>55</v>
      </c>
      <c r="AL390" t="s">
        <v>56</v>
      </c>
      <c r="AM390" t="str">
        <f t="shared" si="19"/>
        <v>2022-2027</v>
      </c>
      <c r="AN390">
        <f t="shared" si="20"/>
        <v>5</v>
      </c>
    </row>
    <row r="391" spans="1:40" x14ac:dyDescent="0.2">
      <c r="A391">
        <v>390</v>
      </c>
      <c r="B391" t="s">
        <v>1304</v>
      </c>
      <c r="C391" t="s">
        <v>1717</v>
      </c>
      <c r="D391" t="s">
        <v>114</v>
      </c>
      <c r="E391" t="s">
        <v>50</v>
      </c>
      <c r="F391" t="s">
        <v>76</v>
      </c>
      <c r="G391">
        <v>82</v>
      </c>
      <c r="H391">
        <v>47.927927600000032</v>
      </c>
      <c r="I391" t="s">
        <v>73</v>
      </c>
      <c r="J391">
        <v>42</v>
      </c>
      <c r="K391">
        <v>8.5052335119999984</v>
      </c>
      <c r="L391">
        <v>15</v>
      </c>
      <c r="M391" t="s">
        <v>67</v>
      </c>
      <c r="N391">
        <v>23</v>
      </c>
      <c r="O391">
        <v>82</v>
      </c>
      <c r="P391">
        <v>594</v>
      </c>
      <c r="Q391">
        <v>179</v>
      </c>
      <c r="R391" t="s">
        <v>1306</v>
      </c>
      <c r="S391" s="3" t="s">
        <v>117</v>
      </c>
      <c r="T391" s="3">
        <f t="shared" si="18"/>
        <v>1</v>
      </c>
      <c r="U391" t="s">
        <v>96</v>
      </c>
      <c r="V391" t="s">
        <v>142</v>
      </c>
      <c r="W391" t="s">
        <v>95</v>
      </c>
      <c r="X391">
        <v>0</v>
      </c>
      <c r="Y391" t="s">
        <v>41</v>
      </c>
      <c r="Z391" t="s">
        <v>92</v>
      </c>
      <c r="AA391" t="s">
        <v>43</v>
      </c>
      <c r="AB391" t="s">
        <v>81</v>
      </c>
      <c r="AC391">
        <v>2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1</v>
      </c>
      <c r="AJ391" t="s">
        <v>1305</v>
      </c>
      <c r="AK391" t="s">
        <v>55</v>
      </c>
      <c r="AL391" t="s">
        <v>56</v>
      </c>
      <c r="AM391" t="str">
        <f t="shared" si="19"/>
        <v>2022-2027</v>
      </c>
      <c r="AN391">
        <f t="shared" si="20"/>
        <v>5</v>
      </c>
    </row>
    <row r="392" spans="1:40" x14ac:dyDescent="0.2">
      <c r="A392">
        <v>391</v>
      </c>
      <c r="B392" t="s">
        <v>1307</v>
      </c>
      <c r="C392" t="s">
        <v>1717</v>
      </c>
      <c r="D392" t="s">
        <v>72</v>
      </c>
      <c r="E392" t="s">
        <v>68</v>
      </c>
      <c r="F392" t="s">
        <v>373</v>
      </c>
      <c r="G392">
        <v>190</v>
      </c>
      <c r="H392">
        <v>75.746691807999937</v>
      </c>
      <c r="I392" t="s">
        <v>372</v>
      </c>
      <c r="J392">
        <v>125</v>
      </c>
      <c r="K392">
        <v>46.370424525999979</v>
      </c>
      <c r="L392">
        <v>33</v>
      </c>
      <c r="M392" t="s">
        <v>49</v>
      </c>
      <c r="N392">
        <v>143</v>
      </c>
      <c r="O392">
        <v>261</v>
      </c>
      <c r="P392">
        <v>4118</v>
      </c>
      <c r="Q392">
        <v>179</v>
      </c>
      <c r="R392" t="s">
        <v>1306</v>
      </c>
      <c r="S392" s="3" t="s">
        <v>117</v>
      </c>
      <c r="T392" s="3">
        <f t="shared" si="18"/>
        <v>1</v>
      </c>
      <c r="U392" t="s">
        <v>96</v>
      </c>
      <c r="V392" t="s">
        <v>142</v>
      </c>
      <c r="W392" t="s">
        <v>95</v>
      </c>
      <c r="X392">
        <v>0</v>
      </c>
      <c r="Y392" t="s">
        <v>41</v>
      </c>
      <c r="Z392" t="s">
        <v>92</v>
      </c>
      <c r="AA392" t="s">
        <v>43</v>
      </c>
      <c r="AB392" t="s">
        <v>81</v>
      </c>
      <c r="AC392">
        <v>1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 t="s">
        <v>1308</v>
      </c>
      <c r="AK392" t="s">
        <v>93</v>
      </c>
      <c r="AL392" t="s">
        <v>94</v>
      </c>
      <c r="AM392" t="str">
        <f t="shared" si="19"/>
        <v>2020-2021</v>
      </c>
      <c r="AN392">
        <f t="shared" si="20"/>
        <v>1</v>
      </c>
    </row>
    <row r="393" spans="1:40" x14ac:dyDescent="0.2">
      <c r="A393">
        <v>392</v>
      </c>
      <c r="B393" t="s">
        <v>1309</v>
      </c>
      <c r="C393" t="s">
        <v>1717</v>
      </c>
      <c r="D393" t="s">
        <v>60</v>
      </c>
      <c r="E393" t="s">
        <v>150</v>
      </c>
      <c r="F393" t="s">
        <v>151</v>
      </c>
      <c r="G393">
        <v>162</v>
      </c>
      <c r="H393">
        <v>104.2176539500001</v>
      </c>
      <c r="I393" t="s">
        <v>140</v>
      </c>
      <c r="J393">
        <v>77</v>
      </c>
      <c r="K393">
        <v>24.729251134000009</v>
      </c>
      <c r="L393">
        <v>19</v>
      </c>
      <c r="M393" t="s">
        <v>67</v>
      </c>
      <c r="N393">
        <v>32</v>
      </c>
      <c r="O393">
        <v>178</v>
      </c>
      <c r="P393">
        <v>1372</v>
      </c>
      <c r="Q393">
        <v>180</v>
      </c>
      <c r="R393" t="s">
        <v>1311</v>
      </c>
      <c r="S393" s="3" t="s">
        <v>90</v>
      </c>
      <c r="T393" s="3">
        <f t="shared" si="18"/>
        <v>1</v>
      </c>
      <c r="U393" t="s">
        <v>96</v>
      </c>
      <c r="V393" t="s">
        <v>142</v>
      </c>
      <c r="W393" t="s">
        <v>95</v>
      </c>
      <c r="X393">
        <v>0</v>
      </c>
      <c r="Y393" t="s">
        <v>41</v>
      </c>
      <c r="Z393" t="s">
        <v>92</v>
      </c>
      <c r="AA393" t="s">
        <v>43</v>
      </c>
      <c r="AB393" t="s">
        <v>118</v>
      </c>
      <c r="AC393">
        <v>2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1</v>
      </c>
      <c r="AJ393" t="s">
        <v>1310</v>
      </c>
      <c r="AK393" t="s">
        <v>55</v>
      </c>
      <c r="AL393" t="s">
        <v>56</v>
      </c>
      <c r="AM393" t="str">
        <f t="shared" si="19"/>
        <v>2022-2027</v>
      </c>
      <c r="AN393">
        <f t="shared" si="20"/>
        <v>5</v>
      </c>
    </row>
    <row r="394" spans="1:40" x14ac:dyDescent="0.2">
      <c r="A394">
        <v>393</v>
      </c>
      <c r="B394" t="s">
        <v>1312</v>
      </c>
      <c r="C394" t="s">
        <v>1718</v>
      </c>
      <c r="D394" t="s">
        <v>285</v>
      </c>
      <c r="E394" t="s">
        <v>68</v>
      </c>
      <c r="F394" t="s">
        <v>755</v>
      </c>
      <c r="G394">
        <v>38</v>
      </c>
      <c r="H394">
        <v>17.574106099999991</v>
      </c>
      <c r="I394" t="s">
        <v>751</v>
      </c>
      <c r="J394">
        <v>30</v>
      </c>
      <c r="K394">
        <v>10.258450870000001</v>
      </c>
      <c r="L394">
        <v>24</v>
      </c>
      <c r="M394" t="s">
        <v>49</v>
      </c>
      <c r="N394">
        <v>31</v>
      </c>
      <c r="O394">
        <v>47</v>
      </c>
      <c r="P394">
        <v>1642</v>
      </c>
      <c r="Q394">
        <v>181</v>
      </c>
      <c r="R394" t="s">
        <v>1314</v>
      </c>
      <c r="S394" s="3" t="s">
        <v>117</v>
      </c>
      <c r="T394" s="3">
        <f t="shared" si="18"/>
        <v>1</v>
      </c>
      <c r="U394" t="s">
        <v>96</v>
      </c>
      <c r="V394" t="s">
        <v>142</v>
      </c>
      <c r="W394" t="s">
        <v>95</v>
      </c>
      <c r="X394">
        <v>0</v>
      </c>
      <c r="Y394" t="s">
        <v>41</v>
      </c>
      <c r="Z394" t="s">
        <v>92</v>
      </c>
      <c r="AA394" t="s">
        <v>43</v>
      </c>
      <c r="AB394" t="s">
        <v>81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 t="s">
        <v>1313</v>
      </c>
      <c r="AK394" t="s">
        <v>65</v>
      </c>
      <c r="AL394" t="s">
        <v>66</v>
      </c>
      <c r="AM394" t="str">
        <f t="shared" si="19"/>
        <v>2024-2027</v>
      </c>
      <c r="AN394">
        <f t="shared" si="20"/>
        <v>3</v>
      </c>
    </row>
    <row r="395" spans="1:40" x14ac:dyDescent="0.2">
      <c r="A395">
        <v>394</v>
      </c>
      <c r="B395" t="s">
        <v>1315</v>
      </c>
      <c r="C395" t="s">
        <v>1717</v>
      </c>
      <c r="D395" t="s">
        <v>60</v>
      </c>
      <c r="E395" t="s">
        <v>150</v>
      </c>
      <c r="F395" t="s">
        <v>151</v>
      </c>
      <c r="G395">
        <v>17</v>
      </c>
      <c r="H395">
        <v>11.432288270000001</v>
      </c>
      <c r="I395" t="s">
        <v>140</v>
      </c>
      <c r="J395">
        <v>11</v>
      </c>
      <c r="K395">
        <v>2.7883972290000001</v>
      </c>
      <c r="L395">
        <v>5</v>
      </c>
      <c r="M395" t="s">
        <v>119</v>
      </c>
      <c r="N395">
        <v>5</v>
      </c>
      <c r="O395">
        <v>20</v>
      </c>
      <c r="P395">
        <v>109</v>
      </c>
      <c r="Q395">
        <v>181</v>
      </c>
      <c r="R395" t="s">
        <v>1314</v>
      </c>
      <c r="S395" s="3" t="s">
        <v>117</v>
      </c>
      <c r="T395" s="3">
        <f t="shared" si="18"/>
        <v>1</v>
      </c>
      <c r="U395" t="s">
        <v>96</v>
      </c>
      <c r="V395" t="s">
        <v>142</v>
      </c>
      <c r="W395" t="s">
        <v>95</v>
      </c>
      <c r="X395">
        <v>0</v>
      </c>
      <c r="Y395" t="s">
        <v>41</v>
      </c>
      <c r="Z395" t="s">
        <v>92</v>
      </c>
      <c r="AA395" t="s">
        <v>43</v>
      </c>
      <c r="AB395" t="s">
        <v>81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 t="s">
        <v>1316</v>
      </c>
      <c r="AK395" t="s">
        <v>125</v>
      </c>
      <c r="AL395" t="s">
        <v>126</v>
      </c>
      <c r="AM395" t="str">
        <f t="shared" si="19"/>
        <v>2022-2024</v>
      </c>
      <c r="AN395">
        <f t="shared" si="20"/>
        <v>2</v>
      </c>
    </row>
    <row r="396" spans="1:40" x14ac:dyDescent="0.2">
      <c r="A396">
        <v>395</v>
      </c>
      <c r="B396" t="s">
        <v>1317</v>
      </c>
      <c r="C396" t="s">
        <v>1718</v>
      </c>
      <c r="D396" t="s">
        <v>60</v>
      </c>
      <c r="E396" t="s">
        <v>150</v>
      </c>
      <c r="F396" t="s">
        <v>151</v>
      </c>
      <c r="G396">
        <v>140</v>
      </c>
      <c r="H396">
        <v>48.725875713999997</v>
      </c>
      <c r="I396" t="s">
        <v>140</v>
      </c>
      <c r="J396">
        <v>114</v>
      </c>
      <c r="K396">
        <v>57.49580314</v>
      </c>
      <c r="L396">
        <v>44</v>
      </c>
      <c r="M396" t="s">
        <v>49</v>
      </c>
      <c r="N396">
        <v>93</v>
      </c>
      <c r="O396">
        <v>161</v>
      </c>
      <c r="P396">
        <v>6396</v>
      </c>
      <c r="Q396">
        <v>181</v>
      </c>
      <c r="R396" t="s">
        <v>1314</v>
      </c>
      <c r="S396" s="3" t="s">
        <v>117</v>
      </c>
      <c r="T396" s="3">
        <f t="shared" si="18"/>
        <v>1</v>
      </c>
      <c r="U396" t="s">
        <v>96</v>
      </c>
      <c r="V396" t="s">
        <v>142</v>
      </c>
      <c r="W396" t="s">
        <v>95</v>
      </c>
      <c r="X396">
        <v>0</v>
      </c>
      <c r="Y396" t="s">
        <v>41</v>
      </c>
      <c r="Z396" t="s">
        <v>92</v>
      </c>
      <c r="AA396" t="s">
        <v>43</v>
      </c>
      <c r="AB396" t="s">
        <v>81</v>
      </c>
      <c r="AC396">
        <v>3</v>
      </c>
      <c r="AD396">
        <v>0</v>
      </c>
      <c r="AE396">
        <v>0</v>
      </c>
      <c r="AF396">
        <v>1</v>
      </c>
      <c r="AG396">
        <v>1</v>
      </c>
      <c r="AH396">
        <v>1</v>
      </c>
      <c r="AI396">
        <v>0</v>
      </c>
      <c r="AJ396" t="s">
        <v>1318</v>
      </c>
      <c r="AK396" t="s">
        <v>327</v>
      </c>
      <c r="AL396" t="s">
        <v>328</v>
      </c>
      <c r="AM396" t="str">
        <f t="shared" si="19"/>
        <v>2018-2024</v>
      </c>
      <c r="AN396">
        <f t="shared" si="20"/>
        <v>6</v>
      </c>
    </row>
    <row r="397" spans="1:40" x14ac:dyDescent="0.2">
      <c r="A397">
        <v>396</v>
      </c>
      <c r="B397" t="s">
        <v>1319</v>
      </c>
      <c r="C397" t="s">
        <v>1718</v>
      </c>
      <c r="D397" t="s">
        <v>60</v>
      </c>
      <c r="E397" t="s">
        <v>150</v>
      </c>
      <c r="F397" t="s">
        <v>151</v>
      </c>
      <c r="G397">
        <v>6</v>
      </c>
      <c r="H397">
        <v>4.0219077699999994</v>
      </c>
      <c r="I397" t="s">
        <v>140</v>
      </c>
      <c r="J397">
        <v>6</v>
      </c>
      <c r="K397">
        <v>2.1588705799999999</v>
      </c>
      <c r="L397">
        <v>2</v>
      </c>
      <c r="M397" t="s">
        <v>97</v>
      </c>
      <c r="N397">
        <v>2</v>
      </c>
      <c r="O397">
        <v>6</v>
      </c>
      <c r="P397">
        <v>35</v>
      </c>
      <c r="Q397">
        <v>181</v>
      </c>
      <c r="R397" t="s">
        <v>1314</v>
      </c>
      <c r="S397" s="3" t="s">
        <v>117</v>
      </c>
      <c r="T397" s="3">
        <f t="shared" si="18"/>
        <v>1</v>
      </c>
      <c r="U397" t="s">
        <v>96</v>
      </c>
      <c r="V397" t="s">
        <v>142</v>
      </c>
      <c r="W397" t="s">
        <v>95</v>
      </c>
      <c r="X397">
        <v>0</v>
      </c>
      <c r="Y397" t="s">
        <v>41</v>
      </c>
      <c r="Z397" t="s">
        <v>92</v>
      </c>
      <c r="AA397" t="s">
        <v>43</v>
      </c>
      <c r="AB397" t="s">
        <v>81</v>
      </c>
      <c r="AC397">
        <v>2</v>
      </c>
      <c r="AD397">
        <v>1</v>
      </c>
      <c r="AE397">
        <v>1</v>
      </c>
      <c r="AF397">
        <v>0</v>
      </c>
      <c r="AG397">
        <v>0</v>
      </c>
      <c r="AH397">
        <v>0</v>
      </c>
      <c r="AI397">
        <v>0</v>
      </c>
      <c r="AJ397" t="s">
        <v>1320</v>
      </c>
      <c r="AK397" t="s">
        <v>74</v>
      </c>
      <c r="AL397" t="s">
        <v>75</v>
      </c>
      <c r="AM397" t="str">
        <f t="shared" si="19"/>
        <v>2014-2018</v>
      </c>
      <c r="AN397">
        <f t="shared" si="20"/>
        <v>4</v>
      </c>
    </row>
    <row r="398" spans="1:40" x14ac:dyDescent="0.2">
      <c r="A398">
        <v>397</v>
      </c>
      <c r="B398" t="s">
        <v>1321</v>
      </c>
      <c r="C398" t="s">
        <v>1717</v>
      </c>
      <c r="D398" t="s">
        <v>79</v>
      </c>
      <c r="E398" t="s">
        <v>68</v>
      </c>
      <c r="F398" t="s">
        <v>158</v>
      </c>
      <c r="G398">
        <v>85</v>
      </c>
      <c r="H398">
        <v>50.755584579999997</v>
      </c>
      <c r="I398" t="s">
        <v>155</v>
      </c>
      <c r="J398">
        <v>57</v>
      </c>
      <c r="K398">
        <v>18.680497985999999</v>
      </c>
      <c r="L398">
        <v>16</v>
      </c>
      <c r="M398" t="s">
        <v>67</v>
      </c>
      <c r="N398">
        <v>33</v>
      </c>
      <c r="O398">
        <v>110</v>
      </c>
      <c r="P398">
        <v>851</v>
      </c>
      <c r="Q398">
        <v>182</v>
      </c>
      <c r="R398" t="s">
        <v>1323</v>
      </c>
      <c r="S398" s="3" t="s">
        <v>117</v>
      </c>
      <c r="T398" s="3">
        <f t="shared" si="18"/>
        <v>1</v>
      </c>
      <c r="U398" t="s">
        <v>96</v>
      </c>
      <c r="V398" t="s">
        <v>142</v>
      </c>
      <c r="W398" t="s">
        <v>95</v>
      </c>
      <c r="X398">
        <v>0</v>
      </c>
      <c r="Y398" t="s">
        <v>41</v>
      </c>
      <c r="Z398" t="s">
        <v>92</v>
      </c>
      <c r="AA398" t="s">
        <v>43</v>
      </c>
      <c r="AB398" t="s">
        <v>118</v>
      </c>
      <c r="AC398">
        <v>2</v>
      </c>
      <c r="AD398">
        <v>0</v>
      </c>
      <c r="AE398">
        <v>0</v>
      </c>
      <c r="AF398">
        <v>1</v>
      </c>
      <c r="AG398">
        <v>1</v>
      </c>
      <c r="AH398">
        <v>0</v>
      </c>
      <c r="AI398">
        <v>0</v>
      </c>
      <c r="AJ398" t="s">
        <v>1322</v>
      </c>
      <c r="AK398" t="s">
        <v>193</v>
      </c>
      <c r="AL398" t="s">
        <v>194</v>
      </c>
      <c r="AM398" t="str">
        <f t="shared" si="19"/>
        <v>2018-2021</v>
      </c>
      <c r="AN398">
        <f t="shared" si="20"/>
        <v>3</v>
      </c>
    </row>
    <row r="399" spans="1:40" x14ac:dyDescent="0.2">
      <c r="A399">
        <v>398</v>
      </c>
      <c r="B399" t="s">
        <v>1325</v>
      </c>
      <c r="C399" t="s">
        <v>1717</v>
      </c>
      <c r="D399" t="s">
        <v>72</v>
      </c>
      <c r="E399" t="s">
        <v>68</v>
      </c>
      <c r="F399" t="s">
        <v>362</v>
      </c>
      <c r="G399">
        <v>257</v>
      </c>
      <c r="H399">
        <v>176.2692636000001</v>
      </c>
      <c r="I399" t="s">
        <v>357</v>
      </c>
      <c r="J399">
        <v>226</v>
      </c>
      <c r="K399">
        <v>111.60223898</v>
      </c>
      <c r="L399">
        <v>49</v>
      </c>
      <c r="M399" t="s">
        <v>49</v>
      </c>
      <c r="N399">
        <v>151</v>
      </c>
      <c r="O399">
        <v>277</v>
      </c>
      <c r="P399">
        <v>6977</v>
      </c>
      <c r="Q399">
        <v>182</v>
      </c>
      <c r="R399" t="s">
        <v>1323</v>
      </c>
      <c r="S399" s="3" t="s">
        <v>117</v>
      </c>
      <c r="T399" s="3">
        <f t="shared" si="18"/>
        <v>1</v>
      </c>
      <c r="U399" t="s">
        <v>96</v>
      </c>
      <c r="V399" t="s">
        <v>142</v>
      </c>
      <c r="W399" t="s">
        <v>95</v>
      </c>
      <c r="X399">
        <v>0</v>
      </c>
      <c r="Y399" t="s">
        <v>41</v>
      </c>
      <c r="Z399" t="s">
        <v>92</v>
      </c>
      <c r="AA399" t="s">
        <v>43</v>
      </c>
      <c r="AB399" t="s">
        <v>118</v>
      </c>
      <c r="AC399">
        <v>2</v>
      </c>
      <c r="AD399">
        <v>0</v>
      </c>
      <c r="AE399">
        <v>0</v>
      </c>
      <c r="AF399">
        <v>1</v>
      </c>
      <c r="AG399">
        <v>1</v>
      </c>
      <c r="AH399">
        <v>0</v>
      </c>
      <c r="AI399">
        <v>0</v>
      </c>
      <c r="AJ399" t="s">
        <v>1324</v>
      </c>
      <c r="AK399" t="s">
        <v>193</v>
      </c>
      <c r="AL399" t="s">
        <v>194</v>
      </c>
      <c r="AM399" t="str">
        <f t="shared" si="19"/>
        <v>2018-2021</v>
      </c>
      <c r="AN399">
        <f t="shared" si="20"/>
        <v>3</v>
      </c>
    </row>
    <row r="400" spans="1:40" x14ac:dyDescent="0.2">
      <c r="A400">
        <v>399</v>
      </c>
      <c r="B400" t="s">
        <v>1326</v>
      </c>
      <c r="C400" t="s">
        <v>1718</v>
      </c>
      <c r="D400" t="s">
        <v>72</v>
      </c>
      <c r="E400" t="s">
        <v>68</v>
      </c>
      <c r="F400" t="s">
        <v>408</v>
      </c>
      <c r="G400">
        <v>186</v>
      </c>
      <c r="H400">
        <v>77.688710230999973</v>
      </c>
      <c r="I400" t="s">
        <v>407</v>
      </c>
      <c r="J400">
        <v>72</v>
      </c>
      <c r="K400">
        <v>33.722034039999983</v>
      </c>
      <c r="L400">
        <v>19</v>
      </c>
      <c r="M400" t="s">
        <v>67</v>
      </c>
      <c r="N400">
        <v>37</v>
      </c>
      <c r="O400">
        <v>304</v>
      </c>
      <c r="P400">
        <v>1430</v>
      </c>
      <c r="Q400">
        <v>182</v>
      </c>
      <c r="R400" t="s">
        <v>1323</v>
      </c>
      <c r="S400" s="3" t="s">
        <v>117</v>
      </c>
      <c r="T400" s="3">
        <f t="shared" si="18"/>
        <v>1</v>
      </c>
      <c r="U400" t="s">
        <v>96</v>
      </c>
      <c r="V400" t="s">
        <v>142</v>
      </c>
      <c r="W400" t="s">
        <v>95</v>
      </c>
      <c r="X400">
        <v>0</v>
      </c>
      <c r="Y400" t="s">
        <v>41</v>
      </c>
      <c r="Z400" t="s">
        <v>92</v>
      </c>
      <c r="AA400" t="s">
        <v>43</v>
      </c>
      <c r="AB400" t="s">
        <v>118</v>
      </c>
      <c r="AC400">
        <v>2</v>
      </c>
      <c r="AD400">
        <v>1</v>
      </c>
      <c r="AE400">
        <v>1</v>
      </c>
      <c r="AF400">
        <v>0</v>
      </c>
      <c r="AG400">
        <v>0</v>
      </c>
      <c r="AH400">
        <v>0</v>
      </c>
      <c r="AI400">
        <v>0</v>
      </c>
      <c r="AJ400" t="s">
        <v>1327</v>
      </c>
      <c r="AK400" t="s">
        <v>74</v>
      </c>
      <c r="AL400" t="s">
        <v>75</v>
      </c>
      <c r="AM400" t="str">
        <f t="shared" si="19"/>
        <v>2014-2018</v>
      </c>
      <c r="AN400">
        <f t="shared" si="20"/>
        <v>4</v>
      </c>
    </row>
    <row r="401" spans="1:40" x14ac:dyDescent="0.2">
      <c r="A401">
        <v>400</v>
      </c>
      <c r="B401" t="s">
        <v>1328</v>
      </c>
      <c r="C401" t="s">
        <v>1717</v>
      </c>
      <c r="D401" t="s">
        <v>72</v>
      </c>
      <c r="E401" t="s">
        <v>68</v>
      </c>
      <c r="F401" t="s">
        <v>329</v>
      </c>
      <c r="G401">
        <v>34</v>
      </c>
      <c r="H401">
        <v>17.811405990000001</v>
      </c>
      <c r="I401" t="s">
        <v>326</v>
      </c>
      <c r="J401">
        <v>24</v>
      </c>
      <c r="K401">
        <v>8.596624091999999</v>
      </c>
      <c r="L401">
        <v>14</v>
      </c>
      <c r="M401" t="s">
        <v>67</v>
      </c>
      <c r="N401">
        <v>16</v>
      </c>
      <c r="O401">
        <v>38</v>
      </c>
      <c r="P401">
        <v>539</v>
      </c>
      <c r="Q401">
        <v>182</v>
      </c>
      <c r="R401" t="s">
        <v>1323</v>
      </c>
      <c r="S401" s="3" t="s">
        <v>117</v>
      </c>
      <c r="T401" s="3">
        <f t="shared" si="18"/>
        <v>1</v>
      </c>
      <c r="U401" t="s">
        <v>96</v>
      </c>
      <c r="V401" t="s">
        <v>142</v>
      </c>
      <c r="W401" t="s">
        <v>95</v>
      </c>
      <c r="X401">
        <v>0</v>
      </c>
      <c r="Y401" t="s">
        <v>41</v>
      </c>
      <c r="Z401" t="s">
        <v>92</v>
      </c>
      <c r="AA401" t="s">
        <v>43</v>
      </c>
      <c r="AB401" t="s">
        <v>118</v>
      </c>
      <c r="AC401">
        <v>2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1</v>
      </c>
      <c r="AJ401" t="s">
        <v>1329</v>
      </c>
      <c r="AK401" t="s">
        <v>55</v>
      </c>
      <c r="AL401" t="s">
        <v>56</v>
      </c>
      <c r="AM401" t="str">
        <f t="shared" si="19"/>
        <v>2022-2027</v>
      </c>
      <c r="AN401">
        <f t="shared" si="20"/>
        <v>5</v>
      </c>
    </row>
    <row r="402" spans="1:40" x14ac:dyDescent="0.2">
      <c r="A402">
        <v>401</v>
      </c>
      <c r="B402" t="s">
        <v>1330</v>
      </c>
      <c r="C402" t="s">
        <v>1718</v>
      </c>
      <c r="D402" t="s">
        <v>79</v>
      </c>
      <c r="E402" t="s">
        <v>227</v>
      </c>
      <c r="G402">
        <v>1</v>
      </c>
      <c r="H402">
        <v>0.27083109999999999</v>
      </c>
      <c r="I402" t="s">
        <v>226</v>
      </c>
      <c r="J402">
        <v>0</v>
      </c>
      <c r="K402">
        <v>0</v>
      </c>
      <c r="L402">
        <v>0</v>
      </c>
      <c r="M402" t="s">
        <v>137</v>
      </c>
      <c r="N402">
        <v>0</v>
      </c>
      <c r="O402">
        <v>1</v>
      </c>
      <c r="P402">
        <v>0</v>
      </c>
      <c r="Q402">
        <v>182</v>
      </c>
      <c r="R402" t="s">
        <v>1323</v>
      </c>
      <c r="S402" s="3" t="s">
        <v>117</v>
      </c>
      <c r="T402" s="3">
        <f t="shared" si="18"/>
        <v>1</v>
      </c>
      <c r="U402" t="s">
        <v>96</v>
      </c>
      <c r="V402" t="s">
        <v>142</v>
      </c>
      <c r="W402" t="s">
        <v>95</v>
      </c>
      <c r="X402">
        <v>0</v>
      </c>
      <c r="Y402" t="s">
        <v>41</v>
      </c>
      <c r="Z402" t="s">
        <v>92</v>
      </c>
      <c r="AA402" t="s">
        <v>43</v>
      </c>
      <c r="AB402" t="s">
        <v>118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 t="s">
        <v>1331</v>
      </c>
      <c r="AK402" t="s">
        <v>125</v>
      </c>
      <c r="AL402" t="s">
        <v>126</v>
      </c>
      <c r="AM402" t="str">
        <f t="shared" si="19"/>
        <v>2022-2024</v>
      </c>
      <c r="AN402">
        <f t="shared" si="20"/>
        <v>2</v>
      </c>
    </row>
    <row r="403" spans="1:40" x14ac:dyDescent="0.2">
      <c r="A403">
        <v>402</v>
      </c>
      <c r="B403" t="s">
        <v>1332</v>
      </c>
      <c r="C403" t="s">
        <v>1717</v>
      </c>
      <c r="D403" t="s">
        <v>72</v>
      </c>
      <c r="E403" t="s">
        <v>68</v>
      </c>
      <c r="F403" t="s">
        <v>408</v>
      </c>
      <c r="G403">
        <v>62</v>
      </c>
      <c r="H403">
        <v>21.415065824999999</v>
      </c>
      <c r="I403" t="s">
        <v>407</v>
      </c>
      <c r="J403">
        <v>47</v>
      </c>
      <c r="K403">
        <v>24.114172140000001</v>
      </c>
      <c r="L403">
        <v>11</v>
      </c>
      <c r="M403" t="s">
        <v>67</v>
      </c>
      <c r="N403">
        <v>13</v>
      </c>
      <c r="O403">
        <v>71</v>
      </c>
      <c r="P403">
        <v>510</v>
      </c>
      <c r="Q403">
        <v>182</v>
      </c>
      <c r="R403" t="s">
        <v>1323</v>
      </c>
      <c r="S403" s="3" t="s">
        <v>117</v>
      </c>
      <c r="T403" s="3">
        <f t="shared" si="18"/>
        <v>1</v>
      </c>
      <c r="U403" t="s">
        <v>96</v>
      </c>
      <c r="V403" t="s">
        <v>142</v>
      </c>
      <c r="W403" t="s">
        <v>95</v>
      </c>
      <c r="X403">
        <v>0</v>
      </c>
      <c r="Y403" t="s">
        <v>41</v>
      </c>
      <c r="Z403" t="s">
        <v>92</v>
      </c>
      <c r="AA403" t="s">
        <v>43</v>
      </c>
      <c r="AB403" t="s">
        <v>118</v>
      </c>
      <c r="AC403">
        <v>2</v>
      </c>
      <c r="AD403">
        <v>1</v>
      </c>
      <c r="AE403">
        <v>1</v>
      </c>
      <c r="AF403">
        <v>0</v>
      </c>
      <c r="AG403">
        <v>0</v>
      </c>
      <c r="AH403">
        <v>0</v>
      </c>
      <c r="AI403">
        <v>0</v>
      </c>
      <c r="AJ403" t="s">
        <v>1333</v>
      </c>
      <c r="AK403" t="s">
        <v>82</v>
      </c>
      <c r="AL403" t="s">
        <v>83</v>
      </c>
      <c r="AM403" t="str">
        <f t="shared" si="19"/>
        <v>2014-2016</v>
      </c>
      <c r="AN403">
        <f t="shared" si="20"/>
        <v>2</v>
      </c>
    </row>
    <row r="404" spans="1:40" x14ac:dyDescent="0.2">
      <c r="A404">
        <v>403</v>
      </c>
      <c r="B404" t="s">
        <v>1334</v>
      </c>
      <c r="C404" t="s">
        <v>1717</v>
      </c>
      <c r="D404" t="s">
        <v>72</v>
      </c>
      <c r="E404" t="s">
        <v>68</v>
      </c>
      <c r="F404" t="s">
        <v>373</v>
      </c>
      <c r="G404">
        <v>576</v>
      </c>
      <c r="H404">
        <v>376.08240936499982</v>
      </c>
      <c r="I404" t="s">
        <v>372</v>
      </c>
      <c r="J404">
        <v>345</v>
      </c>
      <c r="K404">
        <v>97.712481276000034</v>
      </c>
      <c r="L404">
        <v>68</v>
      </c>
      <c r="M404" t="s">
        <v>49</v>
      </c>
      <c r="N404">
        <v>327</v>
      </c>
      <c r="O404">
        <v>633</v>
      </c>
      <c r="P404">
        <v>17674</v>
      </c>
      <c r="Q404">
        <v>183</v>
      </c>
      <c r="R404" t="s">
        <v>1336</v>
      </c>
      <c r="S404" s="3" t="s">
        <v>117</v>
      </c>
      <c r="T404" s="3">
        <f t="shared" si="18"/>
        <v>1</v>
      </c>
      <c r="U404" t="s">
        <v>96</v>
      </c>
      <c r="V404" t="s">
        <v>142</v>
      </c>
      <c r="W404" t="s">
        <v>95</v>
      </c>
      <c r="X404">
        <v>0</v>
      </c>
      <c r="Y404" t="s">
        <v>41</v>
      </c>
      <c r="Z404" t="s">
        <v>92</v>
      </c>
      <c r="AA404" t="s">
        <v>43</v>
      </c>
      <c r="AB404" t="s">
        <v>118</v>
      </c>
      <c r="AC404">
        <v>3</v>
      </c>
      <c r="AD404">
        <v>0</v>
      </c>
      <c r="AE404">
        <v>0</v>
      </c>
      <c r="AF404">
        <v>0</v>
      </c>
      <c r="AG404">
        <v>1</v>
      </c>
      <c r="AH404">
        <v>1</v>
      </c>
      <c r="AI404">
        <v>1</v>
      </c>
      <c r="AJ404" t="s">
        <v>1335</v>
      </c>
      <c r="AK404" t="s">
        <v>269</v>
      </c>
      <c r="AL404" t="s">
        <v>270</v>
      </c>
      <c r="AM404" t="str">
        <f t="shared" si="19"/>
        <v>2020-2027</v>
      </c>
      <c r="AN404">
        <f t="shared" si="20"/>
        <v>7</v>
      </c>
    </row>
    <row r="405" spans="1:40" x14ac:dyDescent="0.2">
      <c r="A405">
        <v>404</v>
      </c>
      <c r="B405" t="s">
        <v>1337</v>
      </c>
      <c r="C405" t="s">
        <v>1718</v>
      </c>
      <c r="D405" t="s">
        <v>186</v>
      </c>
      <c r="E405" t="s">
        <v>98</v>
      </c>
      <c r="F405" t="s">
        <v>99</v>
      </c>
      <c r="G405">
        <v>37</v>
      </c>
      <c r="H405">
        <v>9.370512755</v>
      </c>
      <c r="I405" t="s">
        <v>88</v>
      </c>
      <c r="J405">
        <v>55</v>
      </c>
      <c r="K405">
        <v>29.931837059999999</v>
      </c>
      <c r="L405">
        <v>9</v>
      </c>
      <c r="M405" t="s">
        <v>119</v>
      </c>
      <c r="N405">
        <v>9</v>
      </c>
      <c r="O405">
        <v>88</v>
      </c>
      <c r="P405">
        <v>326</v>
      </c>
      <c r="Q405">
        <v>183</v>
      </c>
      <c r="R405" t="s">
        <v>1336</v>
      </c>
      <c r="S405" s="3" t="s">
        <v>117</v>
      </c>
      <c r="T405" s="3">
        <f t="shared" si="18"/>
        <v>1</v>
      </c>
      <c r="U405" t="s">
        <v>96</v>
      </c>
      <c r="V405" t="s">
        <v>142</v>
      </c>
      <c r="W405" t="s">
        <v>95</v>
      </c>
      <c r="X405">
        <v>0</v>
      </c>
      <c r="Y405" t="s">
        <v>41</v>
      </c>
      <c r="Z405" t="s">
        <v>92</v>
      </c>
      <c r="AA405" t="s">
        <v>43</v>
      </c>
      <c r="AB405" t="s">
        <v>118</v>
      </c>
      <c r="AC405">
        <v>1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 t="s">
        <v>1338</v>
      </c>
      <c r="AK405" t="s">
        <v>202</v>
      </c>
      <c r="AL405" t="s">
        <v>203</v>
      </c>
      <c r="AM405" t="str">
        <f t="shared" si="19"/>
        <v>2018-2020</v>
      </c>
      <c r="AN405">
        <f t="shared" si="20"/>
        <v>2</v>
      </c>
    </row>
    <row r="406" spans="1:40" x14ac:dyDescent="0.2">
      <c r="A406">
        <v>405</v>
      </c>
      <c r="B406" t="s">
        <v>1339</v>
      </c>
      <c r="C406" t="s">
        <v>1718</v>
      </c>
      <c r="D406" t="s">
        <v>79</v>
      </c>
      <c r="E406" t="s">
        <v>68</v>
      </c>
      <c r="F406" t="s">
        <v>111</v>
      </c>
      <c r="G406">
        <v>55</v>
      </c>
      <c r="H406">
        <v>28.320012789999989</v>
      </c>
      <c r="I406" t="s">
        <v>108</v>
      </c>
      <c r="J406">
        <v>44</v>
      </c>
      <c r="K406">
        <v>12.90490728</v>
      </c>
      <c r="L406">
        <v>17</v>
      </c>
      <c r="M406" t="s">
        <v>67</v>
      </c>
      <c r="N406">
        <v>24</v>
      </c>
      <c r="O406">
        <v>65</v>
      </c>
      <c r="P406">
        <v>914</v>
      </c>
      <c r="Q406">
        <v>184</v>
      </c>
      <c r="R406" t="s">
        <v>1341</v>
      </c>
      <c r="S406" s="3">
        <v>5</v>
      </c>
      <c r="T406" s="3">
        <f t="shared" si="18"/>
        <v>1</v>
      </c>
      <c r="U406" t="s">
        <v>96</v>
      </c>
      <c r="V406" t="s">
        <v>142</v>
      </c>
      <c r="W406" t="s">
        <v>95</v>
      </c>
      <c r="X406">
        <v>0</v>
      </c>
      <c r="Y406" t="s">
        <v>41</v>
      </c>
      <c r="Z406" t="s">
        <v>92</v>
      </c>
      <c r="AA406" t="s">
        <v>43</v>
      </c>
      <c r="AB406" t="s">
        <v>81</v>
      </c>
      <c r="AC406">
        <v>2</v>
      </c>
      <c r="AD406">
        <v>0</v>
      </c>
      <c r="AE406">
        <v>0</v>
      </c>
      <c r="AF406">
        <v>1</v>
      </c>
      <c r="AG406">
        <v>1</v>
      </c>
      <c r="AH406">
        <v>0</v>
      </c>
      <c r="AI406">
        <v>0</v>
      </c>
      <c r="AJ406" t="s">
        <v>1340</v>
      </c>
      <c r="AK406" t="s">
        <v>193</v>
      </c>
      <c r="AL406" t="s">
        <v>194</v>
      </c>
      <c r="AM406" t="str">
        <f t="shared" si="19"/>
        <v>2018-2021</v>
      </c>
      <c r="AN406">
        <f t="shared" si="20"/>
        <v>3</v>
      </c>
    </row>
    <row r="407" spans="1:40" x14ac:dyDescent="0.2">
      <c r="A407">
        <v>406</v>
      </c>
      <c r="B407" t="s">
        <v>1342</v>
      </c>
      <c r="C407" t="s">
        <v>1717</v>
      </c>
      <c r="D407" t="s">
        <v>114</v>
      </c>
      <c r="E407" t="s">
        <v>50</v>
      </c>
      <c r="F407" t="s">
        <v>120</v>
      </c>
      <c r="G407">
        <v>111</v>
      </c>
      <c r="H407">
        <v>67.686223220000031</v>
      </c>
      <c r="I407" t="s">
        <v>115</v>
      </c>
      <c r="J407">
        <v>95</v>
      </c>
      <c r="K407">
        <v>29.430038115999999</v>
      </c>
      <c r="L407">
        <v>31</v>
      </c>
      <c r="M407" t="s">
        <v>49</v>
      </c>
      <c r="N407">
        <v>57</v>
      </c>
      <c r="O407">
        <v>121</v>
      </c>
      <c r="P407">
        <v>3112</v>
      </c>
      <c r="Q407">
        <v>184</v>
      </c>
      <c r="R407" t="s">
        <v>1341</v>
      </c>
      <c r="S407" s="3">
        <v>5</v>
      </c>
      <c r="T407" s="3">
        <f t="shared" si="18"/>
        <v>1</v>
      </c>
      <c r="U407" t="s">
        <v>96</v>
      </c>
      <c r="V407" t="s">
        <v>142</v>
      </c>
      <c r="W407" t="s">
        <v>95</v>
      </c>
      <c r="X407">
        <v>0</v>
      </c>
      <c r="Y407" t="s">
        <v>41</v>
      </c>
      <c r="Z407" t="s">
        <v>92</v>
      </c>
      <c r="AA407" t="s">
        <v>43</v>
      </c>
      <c r="AB407" t="s">
        <v>81</v>
      </c>
      <c r="AC407">
        <v>2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1</v>
      </c>
      <c r="AJ407" t="s">
        <v>1343</v>
      </c>
      <c r="AK407" t="s">
        <v>1344</v>
      </c>
      <c r="AL407" t="s">
        <v>56</v>
      </c>
      <c r="AM407" t="str">
        <f t="shared" si="19"/>
        <v>2022-2027</v>
      </c>
      <c r="AN407">
        <f t="shared" si="20"/>
        <v>5</v>
      </c>
    </row>
    <row r="408" spans="1:40" x14ac:dyDescent="0.2">
      <c r="A408">
        <v>407</v>
      </c>
      <c r="B408" t="s">
        <v>1345</v>
      </c>
      <c r="C408" t="s">
        <v>1717</v>
      </c>
      <c r="D408" t="s">
        <v>79</v>
      </c>
      <c r="E408" t="s">
        <v>68</v>
      </c>
      <c r="F408" t="s">
        <v>111</v>
      </c>
      <c r="G408">
        <v>118</v>
      </c>
      <c r="H408">
        <v>90.422790509999999</v>
      </c>
      <c r="I408" t="s">
        <v>108</v>
      </c>
      <c r="J408">
        <v>94</v>
      </c>
      <c r="K408">
        <v>51.402317519999997</v>
      </c>
      <c r="L408">
        <v>29</v>
      </c>
      <c r="M408" t="s">
        <v>49</v>
      </c>
      <c r="N408">
        <v>48</v>
      </c>
      <c r="O408">
        <v>130</v>
      </c>
      <c r="P408">
        <v>2254</v>
      </c>
      <c r="Q408">
        <v>184</v>
      </c>
      <c r="R408" t="s">
        <v>1341</v>
      </c>
      <c r="S408" s="3">
        <v>5</v>
      </c>
      <c r="T408" s="3">
        <f t="shared" si="18"/>
        <v>1</v>
      </c>
      <c r="U408" t="s">
        <v>96</v>
      </c>
      <c r="V408" t="s">
        <v>142</v>
      </c>
      <c r="W408" t="s">
        <v>95</v>
      </c>
      <c r="X408">
        <v>0</v>
      </c>
      <c r="Y408" t="s">
        <v>41</v>
      </c>
      <c r="Z408" t="s">
        <v>92</v>
      </c>
      <c r="AA408" t="s">
        <v>43</v>
      </c>
      <c r="AB408" t="s">
        <v>81</v>
      </c>
      <c r="AC408">
        <v>2</v>
      </c>
      <c r="AD408">
        <v>1</v>
      </c>
      <c r="AE408">
        <v>1</v>
      </c>
      <c r="AF408">
        <v>0</v>
      </c>
      <c r="AG408">
        <v>0</v>
      </c>
      <c r="AH408">
        <v>0</v>
      </c>
      <c r="AI408">
        <v>0</v>
      </c>
      <c r="AJ408" t="s">
        <v>1346</v>
      </c>
      <c r="AK408" t="s">
        <v>82</v>
      </c>
      <c r="AL408" t="s">
        <v>83</v>
      </c>
      <c r="AM408" t="str">
        <f t="shared" si="19"/>
        <v>2014-2016</v>
      </c>
      <c r="AN408">
        <f t="shared" si="20"/>
        <v>2</v>
      </c>
    </row>
    <row r="409" spans="1:40" x14ac:dyDescent="0.2">
      <c r="A409">
        <v>408</v>
      </c>
      <c r="B409" t="s">
        <v>1347</v>
      </c>
      <c r="C409" t="s">
        <v>1718</v>
      </c>
      <c r="D409" t="s">
        <v>60</v>
      </c>
      <c r="E409" t="s">
        <v>150</v>
      </c>
      <c r="F409" t="s">
        <v>151</v>
      </c>
      <c r="G409">
        <v>90</v>
      </c>
      <c r="H409">
        <v>44.041409589999986</v>
      </c>
      <c r="I409" t="s">
        <v>140</v>
      </c>
      <c r="J409">
        <v>85</v>
      </c>
      <c r="K409">
        <v>44.936503476000013</v>
      </c>
      <c r="L409">
        <v>23</v>
      </c>
      <c r="M409" t="s">
        <v>49</v>
      </c>
      <c r="N409">
        <v>41</v>
      </c>
      <c r="O409">
        <v>97</v>
      </c>
      <c r="P409">
        <v>1521</v>
      </c>
      <c r="Q409">
        <v>184</v>
      </c>
      <c r="R409" t="s">
        <v>1341</v>
      </c>
      <c r="S409" s="3">
        <v>5</v>
      </c>
      <c r="T409" s="3">
        <f t="shared" si="18"/>
        <v>1</v>
      </c>
      <c r="U409" t="s">
        <v>96</v>
      </c>
      <c r="V409" t="s">
        <v>142</v>
      </c>
      <c r="W409" t="s">
        <v>95</v>
      </c>
      <c r="X409">
        <v>0</v>
      </c>
      <c r="Y409" t="s">
        <v>41</v>
      </c>
      <c r="Z409" t="s">
        <v>92</v>
      </c>
      <c r="AA409" t="s">
        <v>43</v>
      </c>
      <c r="AB409" t="s">
        <v>81</v>
      </c>
      <c r="AC409">
        <v>1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 t="s">
        <v>1348</v>
      </c>
      <c r="AK409" t="s">
        <v>320</v>
      </c>
      <c r="AL409" t="s">
        <v>321</v>
      </c>
      <c r="AM409" t="str">
        <f t="shared" si="19"/>
        <v>2016-2018</v>
      </c>
      <c r="AN409">
        <f t="shared" si="20"/>
        <v>2</v>
      </c>
    </row>
    <row r="410" spans="1:40" x14ac:dyDescent="0.2">
      <c r="A410">
        <v>409</v>
      </c>
      <c r="B410" t="s">
        <v>1349</v>
      </c>
      <c r="C410" t="s">
        <v>1717</v>
      </c>
      <c r="D410" t="s">
        <v>72</v>
      </c>
      <c r="E410" t="s">
        <v>68</v>
      </c>
      <c r="F410" t="s">
        <v>373</v>
      </c>
      <c r="G410">
        <v>247</v>
      </c>
      <c r="H410">
        <v>180.00334920599991</v>
      </c>
      <c r="I410" t="s">
        <v>372</v>
      </c>
      <c r="J410">
        <v>179</v>
      </c>
      <c r="K410">
        <v>71.433852985999977</v>
      </c>
      <c r="L410">
        <v>22</v>
      </c>
      <c r="M410" t="s">
        <v>49</v>
      </c>
      <c r="N410">
        <v>60</v>
      </c>
      <c r="O410">
        <v>251</v>
      </c>
      <c r="P410">
        <v>2000</v>
      </c>
      <c r="Q410">
        <v>184</v>
      </c>
      <c r="R410" t="s">
        <v>1341</v>
      </c>
      <c r="S410" s="3">
        <v>5</v>
      </c>
      <c r="T410" s="3">
        <f t="shared" si="18"/>
        <v>1</v>
      </c>
      <c r="U410" t="s">
        <v>96</v>
      </c>
      <c r="V410" t="s">
        <v>142</v>
      </c>
      <c r="W410" t="s">
        <v>95</v>
      </c>
      <c r="X410">
        <v>0</v>
      </c>
      <c r="Y410" t="s">
        <v>41</v>
      </c>
      <c r="Z410" t="s">
        <v>92</v>
      </c>
      <c r="AA410" t="s">
        <v>43</v>
      </c>
      <c r="AB410" t="s">
        <v>81</v>
      </c>
      <c r="AC410">
        <v>1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 t="s">
        <v>1350</v>
      </c>
      <c r="AK410" t="s">
        <v>65</v>
      </c>
      <c r="AL410" t="s">
        <v>66</v>
      </c>
      <c r="AM410" t="str">
        <f t="shared" si="19"/>
        <v>2024-2027</v>
      </c>
      <c r="AN410">
        <f t="shared" si="20"/>
        <v>3</v>
      </c>
    </row>
    <row r="411" spans="1:40" x14ac:dyDescent="0.2">
      <c r="A411">
        <v>410</v>
      </c>
      <c r="B411" t="s">
        <v>1351</v>
      </c>
      <c r="C411" t="s">
        <v>1717</v>
      </c>
      <c r="D411" t="s">
        <v>72</v>
      </c>
      <c r="E411" t="s">
        <v>68</v>
      </c>
      <c r="F411" t="s">
        <v>386</v>
      </c>
      <c r="G411">
        <v>39</v>
      </c>
      <c r="H411">
        <v>17.904934530000009</v>
      </c>
      <c r="I411" t="s">
        <v>385</v>
      </c>
      <c r="J411">
        <v>31</v>
      </c>
      <c r="K411">
        <v>16.643499030000001</v>
      </c>
      <c r="L411">
        <v>7</v>
      </c>
      <c r="M411" t="s">
        <v>119</v>
      </c>
      <c r="N411">
        <v>7</v>
      </c>
      <c r="O411">
        <v>45</v>
      </c>
      <c r="P411">
        <v>183</v>
      </c>
      <c r="Q411">
        <v>185</v>
      </c>
      <c r="R411" t="s">
        <v>1353</v>
      </c>
      <c r="S411" s="3" t="s">
        <v>90</v>
      </c>
      <c r="T411" s="3">
        <f t="shared" si="18"/>
        <v>1</v>
      </c>
      <c r="U411" t="s">
        <v>96</v>
      </c>
      <c r="V411" t="s">
        <v>142</v>
      </c>
      <c r="W411" t="s">
        <v>95</v>
      </c>
      <c r="X411">
        <v>0</v>
      </c>
      <c r="Y411" t="s">
        <v>41</v>
      </c>
      <c r="Z411" t="s">
        <v>92</v>
      </c>
      <c r="AA411" t="s">
        <v>360</v>
      </c>
      <c r="AB411" t="s">
        <v>532</v>
      </c>
      <c r="AC411">
        <v>1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  <c r="AJ411" t="s">
        <v>1352</v>
      </c>
      <c r="AK411" t="s">
        <v>202</v>
      </c>
      <c r="AL411" t="s">
        <v>203</v>
      </c>
      <c r="AM411" t="str">
        <f t="shared" si="19"/>
        <v>2018-2020</v>
      </c>
      <c r="AN411">
        <f t="shared" si="20"/>
        <v>2</v>
      </c>
    </row>
    <row r="412" spans="1:40" x14ac:dyDescent="0.2">
      <c r="A412">
        <v>411</v>
      </c>
      <c r="B412" t="s">
        <v>1354</v>
      </c>
      <c r="C412" t="s">
        <v>1717</v>
      </c>
      <c r="D412" t="s">
        <v>441</v>
      </c>
      <c r="E412" t="s">
        <v>476</v>
      </c>
      <c r="F412" t="s">
        <v>1358</v>
      </c>
      <c r="G412">
        <v>109</v>
      </c>
      <c r="H412">
        <v>56.335978169999997</v>
      </c>
      <c r="I412" t="s">
        <v>1356</v>
      </c>
      <c r="J412">
        <v>59</v>
      </c>
      <c r="K412">
        <v>4.6603462790000014</v>
      </c>
      <c r="L412">
        <v>21</v>
      </c>
      <c r="M412" t="s">
        <v>49</v>
      </c>
      <c r="N412">
        <v>36</v>
      </c>
      <c r="O412">
        <v>168</v>
      </c>
      <c r="P412">
        <v>1439</v>
      </c>
      <c r="Q412">
        <v>186</v>
      </c>
      <c r="R412" t="s">
        <v>1357</v>
      </c>
      <c r="S412" s="3" t="s">
        <v>90</v>
      </c>
      <c r="T412" s="3">
        <f t="shared" si="18"/>
        <v>1</v>
      </c>
      <c r="U412" t="s">
        <v>96</v>
      </c>
      <c r="V412" t="s">
        <v>142</v>
      </c>
      <c r="W412" t="s">
        <v>95</v>
      </c>
      <c r="X412">
        <v>0</v>
      </c>
      <c r="Y412" t="s">
        <v>41</v>
      </c>
      <c r="Z412" t="s">
        <v>92</v>
      </c>
      <c r="AA412" t="s">
        <v>63</v>
      </c>
      <c r="AB412" t="s">
        <v>317</v>
      </c>
      <c r="AC412">
        <v>3</v>
      </c>
      <c r="AD412">
        <v>0</v>
      </c>
      <c r="AE412">
        <v>0</v>
      </c>
      <c r="AF412">
        <v>0</v>
      </c>
      <c r="AG412">
        <v>1</v>
      </c>
      <c r="AH412">
        <v>1</v>
      </c>
      <c r="AI412">
        <v>1</v>
      </c>
      <c r="AJ412" t="s">
        <v>1355</v>
      </c>
      <c r="AK412" t="s">
        <v>269</v>
      </c>
      <c r="AL412" t="s">
        <v>270</v>
      </c>
      <c r="AM412" t="str">
        <f t="shared" si="19"/>
        <v>2020-2027</v>
      </c>
      <c r="AN412">
        <f t="shared" si="20"/>
        <v>7</v>
      </c>
    </row>
    <row r="413" spans="1:40" x14ac:dyDescent="0.2">
      <c r="A413">
        <v>412</v>
      </c>
      <c r="B413" t="s">
        <v>1359</v>
      </c>
      <c r="C413" t="s">
        <v>1718</v>
      </c>
      <c r="D413" t="s">
        <v>114</v>
      </c>
      <c r="E413" t="s">
        <v>68</v>
      </c>
      <c r="F413" t="s">
        <v>1362</v>
      </c>
      <c r="G413">
        <v>1</v>
      </c>
      <c r="H413">
        <v>0.4461212</v>
      </c>
      <c r="I413" t="s">
        <v>1361</v>
      </c>
      <c r="J413">
        <v>1</v>
      </c>
      <c r="K413">
        <v>0.89514654999999999</v>
      </c>
      <c r="L413">
        <v>1</v>
      </c>
      <c r="M413" t="s">
        <v>137</v>
      </c>
      <c r="N413">
        <v>0</v>
      </c>
      <c r="O413">
        <v>1</v>
      </c>
      <c r="P413">
        <v>2</v>
      </c>
      <c r="Q413">
        <v>187</v>
      </c>
      <c r="R413" t="s">
        <v>1363</v>
      </c>
      <c r="S413" s="3" t="s">
        <v>141</v>
      </c>
      <c r="T413" s="3">
        <f t="shared" si="18"/>
        <v>1</v>
      </c>
      <c r="U413" t="s">
        <v>149</v>
      </c>
      <c r="V413" t="s">
        <v>142</v>
      </c>
      <c r="W413" t="s">
        <v>95</v>
      </c>
      <c r="X413">
        <v>0</v>
      </c>
      <c r="Y413" t="s">
        <v>41</v>
      </c>
      <c r="Z413" t="s">
        <v>92</v>
      </c>
      <c r="AA413" t="s">
        <v>360</v>
      </c>
      <c r="AB413" t="s">
        <v>540</v>
      </c>
      <c r="AC413">
        <v>3</v>
      </c>
      <c r="AD413">
        <v>0</v>
      </c>
      <c r="AE413">
        <v>0</v>
      </c>
      <c r="AF413">
        <v>0</v>
      </c>
      <c r="AG413">
        <v>1</v>
      </c>
      <c r="AH413">
        <v>1</v>
      </c>
      <c r="AI413">
        <v>1</v>
      </c>
      <c r="AJ413" t="s">
        <v>1360</v>
      </c>
      <c r="AK413" t="s">
        <v>269</v>
      </c>
      <c r="AL413" t="s">
        <v>270</v>
      </c>
      <c r="AM413" t="str">
        <f t="shared" si="19"/>
        <v>2020-2027</v>
      </c>
      <c r="AN413">
        <f t="shared" si="20"/>
        <v>7</v>
      </c>
    </row>
    <row r="414" spans="1:40" x14ac:dyDescent="0.2">
      <c r="A414">
        <v>413</v>
      </c>
      <c r="B414" t="s">
        <v>1364</v>
      </c>
      <c r="C414" t="s">
        <v>1717</v>
      </c>
      <c r="D414" t="s">
        <v>248</v>
      </c>
      <c r="E414" t="s">
        <v>98</v>
      </c>
      <c r="F414" t="s">
        <v>99</v>
      </c>
      <c r="G414">
        <v>14</v>
      </c>
      <c r="H414">
        <v>5.2716416000000006</v>
      </c>
      <c r="I414" t="s">
        <v>88</v>
      </c>
      <c r="J414">
        <v>24</v>
      </c>
      <c r="K414">
        <v>10.833872769999999</v>
      </c>
      <c r="L414">
        <v>2</v>
      </c>
      <c r="M414" t="s">
        <v>97</v>
      </c>
      <c r="N414">
        <v>0</v>
      </c>
      <c r="O414">
        <v>37</v>
      </c>
      <c r="P414">
        <v>15</v>
      </c>
      <c r="Q414">
        <v>187</v>
      </c>
      <c r="R414" t="s">
        <v>1363</v>
      </c>
      <c r="S414" s="3" t="s">
        <v>141</v>
      </c>
      <c r="T414" s="3">
        <f t="shared" si="18"/>
        <v>1</v>
      </c>
      <c r="U414" t="s">
        <v>149</v>
      </c>
      <c r="V414" t="s">
        <v>142</v>
      </c>
      <c r="W414" t="s">
        <v>95</v>
      </c>
      <c r="X414">
        <v>0</v>
      </c>
      <c r="Y414" t="s">
        <v>41</v>
      </c>
      <c r="Z414" t="s">
        <v>92</v>
      </c>
      <c r="AA414" t="s">
        <v>360</v>
      </c>
      <c r="AB414" t="s">
        <v>540</v>
      </c>
      <c r="AC414">
        <v>2</v>
      </c>
      <c r="AD414">
        <v>1</v>
      </c>
      <c r="AE414">
        <v>1</v>
      </c>
      <c r="AF414">
        <v>0</v>
      </c>
      <c r="AG414">
        <v>0</v>
      </c>
      <c r="AH414">
        <v>0</v>
      </c>
      <c r="AI414">
        <v>0</v>
      </c>
      <c r="AJ414" t="s">
        <v>1365</v>
      </c>
      <c r="AK414" t="s">
        <v>82</v>
      </c>
      <c r="AL414" t="s">
        <v>83</v>
      </c>
      <c r="AM414" t="str">
        <f t="shared" si="19"/>
        <v>2014-2016</v>
      </c>
      <c r="AN414">
        <f t="shared" si="20"/>
        <v>2</v>
      </c>
    </row>
    <row r="415" spans="1:40" x14ac:dyDescent="0.2">
      <c r="A415">
        <v>414</v>
      </c>
      <c r="B415" t="s">
        <v>1366</v>
      </c>
      <c r="C415" t="s">
        <v>1718</v>
      </c>
      <c r="D415" t="s">
        <v>394</v>
      </c>
      <c r="E415" t="s">
        <v>98</v>
      </c>
      <c r="F415" t="s">
        <v>99</v>
      </c>
      <c r="G415">
        <v>32</v>
      </c>
      <c r="H415">
        <v>16.316938700000001</v>
      </c>
      <c r="I415" t="s">
        <v>88</v>
      </c>
      <c r="J415">
        <v>27</v>
      </c>
      <c r="K415">
        <v>16.15389025</v>
      </c>
      <c r="L415">
        <v>1</v>
      </c>
      <c r="M415" t="s">
        <v>137</v>
      </c>
      <c r="N415">
        <v>0</v>
      </c>
      <c r="O415">
        <v>38</v>
      </c>
      <c r="P415">
        <v>5</v>
      </c>
      <c r="Q415">
        <v>188</v>
      </c>
      <c r="R415" t="s">
        <v>1368</v>
      </c>
      <c r="S415" s="3" t="s">
        <v>90</v>
      </c>
      <c r="T415" s="3">
        <f t="shared" si="18"/>
        <v>1</v>
      </c>
      <c r="U415" t="s">
        <v>96</v>
      </c>
      <c r="V415" t="s">
        <v>142</v>
      </c>
      <c r="W415" t="s">
        <v>95</v>
      </c>
      <c r="X415">
        <v>0</v>
      </c>
      <c r="Y415" t="s">
        <v>41</v>
      </c>
      <c r="Z415" t="s">
        <v>92</v>
      </c>
      <c r="AA415" t="s">
        <v>360</v>
      </c>
      <c r="AB415" t="s">
        <v>361</v>
      </c>
      <c r="AC415">
        <v>2</v>
      </c>
      <c r="AD415">
        <v>0</v>
      </c>
      <c r="AE415">
        <v>0</v>
      </c>
      <c r="AF415">
        <v>0</v>
      </c>
      <c r="AG415">
        <v>1</v>
      </c>
      <c r="AH415">
        <v>1</v>
      </c>
      <c r="AI415">
        <v>0</v>
      </c>
      <c r="AJ415" t="s">
        <v>1367</v>
      </c>
      <c r="AK415" t="s">
        <v>213</v>
      </c>
      <c r="AL415" t="s">
        <v>214</v>
      </c>
      <c r="AM415" t="str">
        <f t="shared" si="19"/>
        <v>2020-2024</v>
      </c>
      <c r="AN415">
        <f t="shared" si="20"/>
        <v>4</v>
      </c>
    </row>
    <row r="416" spans="1:40" x14ac:dyDescent="0.2">
      <c r="A416">
        <v>415</v>
      </c>
      <c r="B416" t="s">
        <v>1369</v>
      </c>
      <c r="C416" t="s">
        <v>1717</v>
      </c>
      <c r="D416" t="s">
        <v>60</v>
      </c>
      <c r="E416" t="s">
        <v>68</v>
      </c>
      <c r="F416" t="s">
        <v>329</v>
      </c>
      <c r="G416">
        <v>223</v>
      </c>
      <c r="H416">
        <v>106.626186226</v>
      </c>
      <c r="I416" t="s">
        <v>326</v>
      </c>
      <c r="J416">
        <v>136</v>
      </c>
      <c r="K416">
        <v>61.246079649999963</v>
      </c>
      <c r="L416">
        <v>33</v>
      </c>
      <c r="M416" t="s">
        <v>49</v>
      </c>
      <c r="N416">
        <v>95</v>
      </c>
      <c r="O416">
        <v>273</v>
      </c>
      <c r="P416">
        <v>6909</v>
      </c>
      <c r="Q416">
        <v>188</v>
      </c>
      <c r="R416" t="s">
        <v>1368</v>
      </c>
      <c r="S416" s="3" t="s">
        <v>90</v>
      </c>
      <c r="T416" s="3">
        <f t="shared" si="18"/>
        <v>1</v>
      </c>
      <c r="U416" t="s">
        <v>96</v>
      </c>
      <c r="V416" t="s">
        <v>142</v>
      </c>
      <c r="W416" t="s">
        <v>95</v>
      </c>
      <c r="X416">
        <v>0</v>
      </c>
      <c r="Y416" t="s">
        <v>41</v>
      </c>
      <c r="Z416" t="s">
        <v>92</v>
      </c>
      <c r="AA416" t="s">
        <v>360</v>
      </c>
      <c r="AB416" t="s">
        <v>361</v>
      </c>
      <c r="AC416">
        <v>2</v>
      </c>
      <c r="AD416">
        <v>1</v>
      </c>
      <c r="AE416">
        <v>1</v>
      </c>
      <c r="AF416">
        <v>0</v>
      </c>
      <c r="AG416">
        <v>0</v>
      </c>
      <c r="AH416">
        <v>0</v>
      </c>
      <c r="AI416">
        <v>0</v>
      </c>
      <c r="AJ416" t="s">
        <v>1370</v>
      </c>
      <c r="AK416" t="s">
        <v>74</v>
      </c>
      <c r="AL416" t="s">
        <v>75</v>
      </c>
      <c r="AM416" t="str">
        <f t="shared" si="19"/>
        <v>2014-2018</v>
      </c>
      <c r="AN416">
        <f t="shared" si="20"/>
        <v>4</v>
      </c>
    </row>
    <row r="417" spans="1:40" x14ac:dyDescent="0.2">
      <c r="A417">
        <v>416</v>
      </c>
      <c r="B417" t="s">
        <v>1371</v>
      </c>
      <c r="C417" t="s">
        <v>1717</v>
      </c>
      <c r="D417" t="s">
        <v>60</v>
      </c>
      <c r="E417" t="s">
        <v>98</v>
      </c>
      <c r="F417" t="s">
        <v>99</v>
      </c>
      <c r="G417">
        <v>67</v>
      </c>
      <c r="H417">
        <v>29.680882950000001</v>
      </c>
      <c r="I417" t="s">
        <v>88</v>
      </c>
      <c r="J417">
        <v>81</v>
      </c>
      <c r="K417">
        <v>42.2598932</v>
      </c>
      <c r="L417">
        <v>6</v>
      </c>
      <c r="M417" t="s">
        <v>119</v>
      </c>
      <c r="N417">
        <v>2</v>
      </c>
      <c r="O417">
        <v>142</v>
      </c>
      <c r="P417">
        <v>121</v>
      </c>
      <c r="Q417">
        <v>188</v>
      </c>
      <c r="R417" t="s">
        <v>1368</v>
      </c>
      <c r="S417" s="3" t="s">
        <v>90</v>
      </c>
      <c r="T417" s="3">
        <f t="shared" si="18"/>
        <v>1</v>
      </c>
      <c r="U417" t="s">
        <v>96</v>
      </c>
      <c r="V417" t="s">
        <v>142</v>
      </c>
      <c r="W417" t="s">
        <v>95</v>
      </c>
      <c r="X417">
        <v>0</v>
      </c>
      <c r="Y417" t="s">
        <v>41</v>
      </c>
      <c r="Z417" t="s">
        <v>92</v>
      </c>
      <c r="AA417" t="s">
        <v>360</v>
      </c>
      <c r="AB417" t="s">
        <v>361</v>
      </c>
      <c r="AC417">
        <v>2</v>
      </c>
      <c r="AD417">
        <v>0</v>
      </c>
      <c r="AE417">
        <v>0</v>
      </c>
      <c r="AF417">
        <v>1</v>
      </c>
      <c r="AG417">
        <v>1</v>
      </c>
      <c r="AH417">
        <v>0</v>
      </c>
      <c r="AI417">
        <v>0</v>
      </c>
      <c r="AJ417" t="s">
        <v>1372</v>
      </c>
      <c r="AK417" t="s">
        <v>193</v>
      </c>
      <c r="AL417" t="s">
        <v>194</v>
      </c>
      <c r="AM417" t="str">
        <f t="shared" si="19"/>
        <v>2018-2021</v>
      </c>
      <c r="AN417">
        <f t="shared" si="20"/>
        <v>3</v>
      </c>
    </row>
    <row r="418" spans="1:40" x14ac:dyDescent="0.2">
      <c r="A418">
        <v>417</v>
      </c>
      <c r="B418" t="s">
        <v>1373</v>
      </c>
      <c r="C418" t="s">
        <v>1718</v>
      </c>
      <c r="D418" t="s">
        <v>60</v>
      </c>
      <c r="E418" t="s">
        <v>150</v>
      </c>
      <c r="F418" t="s">
        <v>151</v>
      </c>
      <c r="G418">
        <v>3</v>
      </c>
      <c r="H418">
        <v>2.0677867399999998</v>
      </c>
      <c r="I418" t="s">
        <v>140</v>
      </c>
      <c r="J418">
        <v>3</v>
      </c>
      <c r="K418">
        <v>1.08650823</v>
      </c>
      <c r="L418">
        <v>1</v>
      </c>
      <c r="M418" t="s">
        <v>137</v>
      </c>
      <c r="N418">
        <v>0</v>
      </c>
      <c r="O418">
        <v>3</v>
      </c>
      <c r="P418">
        <v>1</v>
      </c>
      <c r="Q418">
        <v>188</v>
      </c>
      <c r="R418" t="s">
        <v>1368</v>
      </c>
      <c r="S418" s="3" t="s">
        <v>90</v>
      </c>
      <c r="T418" s="3">
        <f t="shared" si="18"/>
        <v>1</v>
      </c>
      <c r="U418" t="s">
        <v>96</v>
      </c>
      <c r="V418" t="s">
        <v>142</v>
      </c>
      <c r="W418" t="s">
        <v>95</v>
      </c>
      <c r="X418">
        <v>0</v>
      </c>
      <c r="Y418" t="s">
        <v>41</v>
      </c>
      <c r="Z418" t="s">
        <v>92</v>
      </c>
      <c r="AA418" t="s">
        <v>360</v>
      </c>
      <c r="AB418" t="s">
        <v>361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</v>
      </c>
      <c r="AJ418" t="s">
        <v>1374</v>
      </c>
      <c r="AK418" t="s">
        <v>65</v>
      </c>
      <c r="AL418" t="s">
        <v>66</v>
      </c>
      <c r="AM418" t="str">
        <f t="shared" si="19"/>
        <v>2024-2027</v>
      </c>
      <c r="AN418">
        <f t="shared" si="20"/>
        <v>3</v>
      </c>
    </row>
    <row r="419" spans="1:40" x14ac:dyDescent="0.2">
      <c r="A419">
        <v>418</v>
      </c>
      <c r="B419" t="s">
        <v>1375</v>
      </c>
      <c r="C419" t="s">
        <v>1718</v>
      </c>
      <c r="D419" t="s">
        <v>248</v>
      </c>
      <c r="E419" t="s">
        <v>98</v>
      </c>
      <c r="F419" t="s">
        <v>99</v>
      </c>
      <c r="G419">
        <v>1</v>
      </c>
      <c r="H419">
        <v>0.38356307000000001</v>
      </c>
      <c r="I419" t="s">
        <v>88</v>
      </c>
      <c r="J419">
        <v>1</v>
      </c>
      <c r="K419">
        <v>0.73474543999999997</v>
      </c>
      <c r="L419">
        <v>0</v>
      </c>
      <c r="M419" t="s">
        <v>137</v>
      </c>
      <c r="N419">
        <v>0</v>
      </c>
      <c r="O419">
        <v>1</v>
      </c>
      <c r="P419">
        <v>0</v>
      </c>
      <c r="Q419">
        <v>188</v>
      </c>
      <c r="R419" t="s">
        <v>1368</v>
      </c>
      <c r="S419" s="3" t="s">
        <v>90</v>
      </c>
      <c r="T419" s="3">
        <f t="shared" si="18"/>
        <v>1</v>
      </c>
      <c r="U419" t="s">
        <v>96</v>
      </c>
      <c r="V419" t="s">
        <v>142</v>
      </c>
      <c r="W419" t="s">
        <v>95</v>
      </c>
      <c r="X419">
        <v>0</v>
      </c>
      <c r="Y419" t="s">
        <v>41</v>
      </c>
      <c r="Z419" t="s">
        <v>92</v>
      </c>
      <c r="AA419" t="s">
        <v>360</v>
      </c>
      <c r="AB419" t="s">
        <v>361</v>
      </c>
      <c r="AC419">
        <v>2</v>
      </c>
      <c r="AD419">
        <v>1</v>
      </c>
      <c r="AE419">
        <v>1</v>
      </c>
      <c r="AF419">
        <v>0</v>
      </c>
      <c r="AG419">
        <v>0</v>
      </c>
      <c r="AH419">
        <v>0</v>
      </c>
      <c r="AI419">
        <v>0</v>
      </c>
      <c r="AJ419" t="s">
        <v>1376</v>
      </c>
      <c r="AK419" t="s">
        <v>82</v>
      </c>
      <c r="AL419" t="s">
        <v>83</v>
      </c>
      <c r="AM419" t="str">
        <f t="shared" si="19"/>
        <v>2014-2016</v>
      </c>
      <c r="AN419">
        <f t="shared" si="20"/>
        <v>2</v>
      </c>
    </row>
    <row r="420" spans="1:40" x14ac:dyDescent="0.2">
      <c r="A420">
        <v>419</v>
      </c>
      <c r="B420" t="s">
        <v>1377</v>
      </c>
      <c r="C420" t="s">
        <v>1717</v>
      </c>
      <c r="D420" t="s">
        <v>114</v>
      </c>
      <c r="E420" t="s">
        <v>68</v>
      </c>
      <c r="F420" t="s">
        <v>1380</v>
      </c>
      <c r="G420">
        <v>144</v>
      </c>
      <c r="H420">
        <v>48.220542834999989</v>
      </c>
      <c r="I420" t="s">
        <v>1379</v>
      </c>
      <c r="J420">
        <v>86</v>
      </c>
      <c r="K420">
        <v>36.016590290000003</v>
      </c>
      <c r="L420">
        <v>36</v>
      </c>
      <c r="M420" t="s">
        <v>49</v>
      </c>
      <c r="N420">
        <v>97</v>
      </c>
      <c r="O420">
        <v>227</v>
      </c>
      <c r="P420">
        <v>3638</v>
      </c>
      <c r="Q420">
        <v>188</v>
      </c>
      <c r="R420" t="s">
        <v>1368</v>
      </c>
      <c r="S420" s="3" t="s">
        <v>90</v>
      </c>
      <c r="T420" s="3">
        <f t="shared" si="18"/>
        <v>1</v>
      </c>
      <c r="U420" t="s">
        <v>96</v>
      </c>
      <c r="V420" t="s">
        <v>142</v>
      </c>
      <c r="W420" t="s">
        <v>95</v>
      </c>
      <c r="X420">
        <v>0</v>
      </c>
      <c r="Y420" t="s">
        <v>41</v>
      </c>
      <c r="Z420" t="s">
        <v>92</v>
      </c>
      <c r="AA420" t="s">
        <v>360</v>
      </c>
      <c r="AB420" t="s">
        <v>361</v>
      </c>
      <c r="AC420">
        <v>1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 t="s">
        <v>1378</v>
      </c>
      <c r="AK420" t="s">
        <v>202</v>
      </c>
      <c r="AL420" t="s">
        <v>203</v>
      </c>
      <c r="AM420" t="str">
        <f t="shared" si="19"/>
        <v>2018-2020</v>
      </c>
      <c r="AN420">
        <f t="shared" si="20"/>
        <v>2</v>
      </c>
    </row>
    <row r="421" spans="1:40" x14ac:dyDescent="0.2">
      <c r="A421">
        <v>420</v>
      </c>
      <c r="B421" t="s">
        <v>1381</v>
      </c>
      <c r="C421" t="s">
        <v>1718</v>
      </c>
      <c r="D421" t="s">
        <v>72</v>
      </c>
      <c r="E421" t="s">
        <v>98</v>
      </c>
      <c r="F421" t="s">
        <v>99</v>
      </c>
      <c r="G421">
        <v>35</v>
      </c>
      <c r="H421">
        <v>8.5806586930000002</v>
      </c>
      <c r="I421" t="s">
        <v>88</v>
      </c>
      <c r="J421">
        <v>32</v>
      </c>
      <c r="K421">
        <v>16.962318079999999</v>
      </c>
      <c r="L421">
        <v>9</v>
      </c>
      <c r="M421" t="s">
        <v>119</v>
      </c>
      <c r="N421">
        <v>9</v>
      </c>
      <c r="O421">
        <v>75</v>
      </c>
      <c r="P421">
        <v>291</v>
      </c>
      <c r="Q421">
        <v>188</v>
      </c>
      <c r="R421" t="s">
        <v>1368</v>
      </c>
      <c r="S421" s="3" t="s">
        <v>90</v>
      </c>
      <c r="T421" s="3">
        <f t="shared" si="18"/>
        <v>1</v>
      </c>
      <c r="U421" t="s">
        <v>96</v>
      </c>
      <c r="V421" t="s">
        <v>142</v>
      </c>
      <c r="W421" t="s">
        <v>95</v>
      </c>
      <c r="X421">
        <v>0</v>
      </c>
      <c r="Y421" t="s">
        <v>41</v>
      </c>
      <c r="Z421" t="s">
        <v>92</v>
      </c>
      <c r="AA421" t="s">
        <v>360</v>
      </c>
      <c r="AB421" t="s">
        <v>361</v>
      </c>
      <c r="AC421">
        <v>1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 t="s">
        <v>1382</v>
      </c>
      <c r="AK421" t="s">
        <v>320</v>
      </c>
      <c r="AL421" t="s">
        <v>321</v>
      </c>
      <c r="AM421" t="str">
        <f t="shared" si="19"/>
        <v>2016-2018</v>
      </c>
      <c r="AN421">
        <f t="shared" si="20"/>
        <v>2</v>
      </c>
    </row>
    <row r="422" spans="1:40" x14ac:dyDescent="0.2">
      <c r="A422">
        <v>421</v>
      </c>
      <c r="B422" t="s">
        <v>1383</v>
      </c>
      <c r="C422" t="s">
        <v>1717</v>
      </c>
      <c r="D422" t="s">
        <v>37</v>
      </c>
      <c r="E422" t="s">
        <v>98</v>
      </c>
      <c r="F422" t="s">
        <v>99</v>
      </c>
      <c r="G422">
        <v>13</v>
      </c>
      <c r="H422">
        <v>6.2629920800000001</v>
      </c>
      <c r="I422" t="s">
        <v>88</v>
      </c>
      <c r="J422">
        <v>13</v>
      </c>
      <c r="K422">
        <v>6.809343150000001</v>
      </c>
      <c r="L422">
        <v>4</v>
      </c>
      <c r="M422" t="s">
        <v>97</v>
      </c>
      <c r="N422">
        <v>2</v>
      </c>
      <c r="O422">
        <v>24</v>
      </c>
      <c r="P422">
        <v>46</v>
      </c>
      <c r="Q422">
        <v>189</v>
      </c>
      <c r="R422" t="s">
        <v>1385</v>
      </c>
      <c r="S422" s="3" t="s">
        <v>90</v>
      </c>
      <c r="T422" s="3">
        <f t="shared" si="18"/>
        <v>1</v>
      </c>
      <c r="U422" t="s">
        <v>96</v>
      </c>
      <c r="V422" t="s">
        <v>142</v>
      </c>
      <c r="W422" t="s">
        <v>95</v>
      </c>
      <c r="X422">
        <v>0</v>
      </c>
      <c r="Y422" t="s">
        <v>41</v>
      </c>
      <c r="Z422" t="s">
        <v>92</v>
      </c>
      <c r="AA422" t="s">
        <v>63</v>
      </c>
      <c r="AB422" t="s">
        <v>206</v>
      </c>
      <c r="AC422">
        <v>2</v>
      </c>
      <c r="AD422">
        <v>1</v>
      </c>
      <c r="AE422">
        <v>1</v>
      </c>
      <c r="AF422">
        <v>0</v>
      </c>
      <c r="AG422">
        <v>0</v>
      </c>
      <c r="AH422">
        <v>0</v>
      </c>
      <c r="AI422">
        <v>0</v>
      </c>
      <c r="AJ422" t="s">
        <v>1384</v>
      </c>
      <c r="AK422" t="s">
        <v>74</v>
      </c>
      <c r="AL422" t="s">
        <v>75</v>
      </c>
      <c r="AM422" t="str">
        <f t="shared" si="19"/>
        <v>2014-2018</v>
      </c>
      <c r="AN422">
        <f t="shared" si="20"/>
        <v>4</v>
      </c>
    </row>
    <row r="423" spans="1:40" x14ac:dyDescent="0.2">
      <c r="A423">
        <v>422</v>
      </c>
      <c r="B423" t="s">
        <v>1386</v>
      </c>
      <c r="C423" t="s">
        <v>1717</v>
      </c>
      <c r="D423" t="s">
        <v>114</v>
      </c>
      <c r="E423" t="s">
        <v>50</v>
      </c>
      <c r="F423" t="s">
        <v>120</v>
      </c>
      <c r="G423">
        <v>58</v>
      </c>
      <c r="H423">
        <v>26.85066543999999</v>
      </c>
      <c r="I423" t="s">
        <v>115</v>
      </c>
      <c r="J423">
        <v>32</v>
      </c>
      <c r="K423">
        <v>3.9708067099999989</v>
      </c>
      <c r="L423">
        <v>19</v>
      </c>
      <c r="M423" t="s">
        <v>67</v>
      </c>
      <c r="N423">
        <v>28</v>
      </c>
      <c r="O423">
        <v>71</v>
      </c>
      <c r="P423">
        <v>1147</v>
      </c>
      <c r="Q423">
        <v>189</v>
      </c>
      <c r="R423" t="s">
        <v>1385</v>
      </c>
      <c r="S423" s="3" t="s">
        <v>90</v>
      </c>
      <c r="T423" s="3">
        <f t="shared" si="18"/>
        <v>1</v>
      </c>
      <c r="U423" t="s">
        <v>96</v>
      </c>
      <c r="V423" t="s">
        <v>142</v>
      </c>
      <c r="W423" t="s">
        <v>95</v>
      </c>
      <c r="X423">
        <v>0</v>
      </c>
      <c r="Y423" t="s">
        <v>41</v>
      </c>
      <c r="Z423" t="s">
        <v>92</v>
      </c>
      <c r="AA423" t="s">
        <v>63</v>
      </c>
      <c r="AB423" t="s">
        <v>206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 t="s">
        <v>1387</v>
      </c>
      <c r="AK423" t="s">
        <v>125</v>
      </c>
      <c r="AL423" t="s">
        <v>126</v>
      </c>
      <c r="AM423" t="str">
        <f t="shared" si="19"/>
        <v>2022-2024</v>
      </c>
      <c r="AN423">
        <f t="shared" si="20"/>
        <v>2</v>
      </c>
    </row>
    <row r="424" spans="1:40" x14ac:dyDescent="0.2">
      <c r="A424">
        <v>423</v>
      </c>
      <c r="B424" t="s">
        <v>1388</v>
      </c>
      <c r="C424" t="s">
        <v>1717</v>
      </c>
      <c r="D424" t="s">
        <v>227</v>
      </c>
      <c r="E424" t="s">
        <v>227</v>
      </c>
      <c r="F424" t="s">
        <v>227</v>
      </c>
      <c r="I424" t="s">
        <v>226</v>
      </c>
      <c r="M424" t="s">
        <v>226</v>
      </c>
      <c r="Q424">
        <v>189</v>
      </c>
      <c r="R424" t="s">
        <v>1385</v>
      </c>
      <c r="S424" s="3" t="s">
        <v>90</v>
      </c>
      <c r="T424" s="3">
        <f t="shared" si="18"/>
        <v>1</v>
      </c>
      <c r="U424" t="s">
        <v>96</v>
      </c>
      <c r="V424" t="s">
        <v>142</v>
      </c>
      <c r="W424" t="s">
        <v>95</v>
      </c>
      <c r="X424">
        <v>0</v>
      </c>
      <c r="Y424" t="s">
        <v>41</v>
      </c>
      <c r="Z424" t="s">
        <v>92</v>
      </c>
      <c r="AA424" t="s">
        <v>63</v>
      </c>
      <c r="AB424" t="s">
        <v>206</v>
      </c>
      <c r="AC424">
        <v>1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 s="4" t="s">
        <v>226</v>
      </c>
      <c r="AK424" t="s">
        <v>202</v>
      </c>
      <c r="AL424" t="s">
        <v>203</v>
      </c>
      <c r="AM424" t="str">
        <f t="shared" si="19"/>
        <v>2018-2020</v>
      </c>
      <c r="AN424">
        <f t="shared" si="20"/>
        <v>2</v>
      </c>
    </row>
    <row r="425" spans="1:40" x14ac:dyDescent="0.2">
      <c r="A425">
        <v>424</v>
      </c>
      <c r="B425" t="s">
        <v>1389</v>
      </c>
      <c r="C425" t="s">
        <v>1718</v>
      </c>
      <c r="D425" t="s">
        <v>60</v>
      </c>
      <c r="E425" t="s">
        <v>68</v>
      </c>
      <c r="F425" t="s">
        <v>313</v>
      </c>
      <c r="G425">
        <v>93</v>
      </c>
      <c r="H425">
        <v>37.156105119999978</v>
      </c>
      <c r="I425" t="s">
        <v>311</v>
      </c>
      <c r="J425">
        <v>66</v>
      </c>
      <c r="K425">
        <v>32.17951317</v>
      </c>
      <c r="L425">
        <v>38</v>
      </c>
      <c r="M425" t="s">
        <v>49</v>
      </c>
      <c r="N425">
        <v>72</v>
      </c>
      <c r="O425">
        <v>124</v>
      </c>
      <c r="P425">
        <v>4152</v>
      </c>
      <c r="Q425">
        <v>190</v>
      </c>
      <c r="R425" t="s">
        <v>1391</v>
      </c>
      <c r="S425" s="3" t="s">
        <v>117</v>
      </c>
      <c r="T425" s="3">
        <f t="shared" si="18"/>
        <v>1</v>
      </c>
      <c r="U425" t="s">
        <v>96</v>
      </c>
      <c r="V425" t="s">
        <v>142</v>
      </c>
      <c r="W425" t="s">
        <v>95</v>
      </c>
      <c r="X425">
        <v>0</v>
      </c>
      <c r="Y425" t="s">
        <v>41</v>
      </c>
      <c r="Z425" t="s">
        <v>92</v>
      </c>
      <c r="AA425" t="s">
        <v>63</v>
      </c>
      <c r="AB425" t="s">
        <v>206</v>
      </c>
      <c r="AC425">
        <v>3</v>
      </c>
      <c r="AD425">
        <v>0</v>
      </c>
      <c r="AE425">
        <v>1</v>
      </c>
      <c r="AF425">
        <v>1</v>
      </c>
      <c r="AG425">
        <v>1</v>
      </c>
      <c r="AH425">
        <v>0</v>
      </c>
      <c r="AI425">
        <v>0</v>
      </c>
      <c r="AJ425" t="s">
        <v>1390</v>
      </c>
      <c r="AK425" t="s">
        <v>131</v>
      </c>
      <c r="AL425" t="s">
        <v>132</v>
      </c>
      <c r="AM425" t="str">
        <f t="shared" si="19"/>
        <v>2016-2021</v>
      </c>
      <c r="AN425">
        <f t="shared" si="20"/>
        <v>5</v>
      </c>
    </row>
    <row r="426" spans="1:40" x14ac:dyDescent="0.2">
      <c r="A426">
        <v>425</v>
      </c>
      <c r="B426" t="s">
        <v>1392</v>
      </c>
      <c r="C426" t="s">
        <v>1718</v>
      </c>
      <c r="D426" t="s">
        <v>60</v>
      </c>
      <c r="E426" t="s">
        <v>50</v>
      </c>
      <c r="F426" t="s">
        <v>76</v>
      </c>
      <c r="G426">
        <v>105</v>
      </c>
      <c r="H426">
        <v>34.931846519000018</v>
      </c>
      <c r="I426" t="s">
        <v>73</v>
      </c>
      <c r="J426">
        <v>76</v>
      </c>
      <c r="K426">
        <v>17.160416641000001</v>
      </c>
      <c r="L426">
        <v>34</v>
      </c>
      <c r="M426" t="s">
        <v>49</v>
      </c>
      <c r="N426">
        <v>79</v>
      </c>
      <c r="O426">
        <v>137</v>
      </c>
      <c r="P426">
        <v>3749</v>
      </c>
      <c r="Q426">
        <v>190</v>
      </c>
      <c r="R426" t="s">
        <v>1391</v>
      </c>
      <c r="S426" s="3" t="s">
        <v>117</v>
      </c>
      <c r="T426" s="3">
        <f t="shared" si="18"/>
        <v>1</v>
      </c>
      <c r="U426" t="s">
        <v>96</v>
      </c>
      <c r="V426" t="s">
        <v>142</v>
      </c>
      <c r="W426" t="s">
        <v>95</v>
      </c>
      <c r="X426">
        <v>0</v>
      </c>
      <c r="Y426" t="s">
        <v>41</v>
      </c>
      <c r="Z426" t="s">
        <v>92</v>
      </c>
      <c r="AA426" t="s">
        <v>63</v>
      </c>
      <c r="AB426" t="s">
        <v>206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0</v>
      </c>
      <c r="AJ426" t="s">
        <v>1393</v>
      </c>
      <c r="AK426" t="s">
        <v>125</v>
      </c>
      <c r="AL426" t="s">
        <v>126</v>
      </c>
      <c r="AM426" t="str">
        <f t="shared" si="19"/>
        <v>2022-2024</v>
      </c>
      <c r="AN426">
        <f t="shared" si="20"/>
        <v>2</v>
      </c>
    </row>
    <row r="427" spans="1:40" x14ac:dyDescent="0.2">
      <c r="A427">
        <v>426</v>
      </c>
      <c r="B427" t="s">
        <v>1394</v>
      </c>
      <c r="C427" t="s">
        <v>1717</v>
      </c>
      <c r="D427" t="s">
        <v>114</v>
      </c>
      <c r="E427" t="s">
        <v>50</v>
      </c>
      <c r="F427" t="s">
        <v>120</v>
      </c>
      <c r="G427">
        <v>151</v>
      </c>
      <c r="H427">
        <v>95.910693999999964</v>
      </c>
      <c r="I427" t="s">
        <v>115</v>
      </c>
      <c r="J427">
        <v>80</v>
      </c>
      <c r="K427">
        <v>11.997684259</v>
      </c>
      <c r="L427">
        <v>24</v>
      </c>
      <c r="M427" t="s">
        <v>49</v>
      </c>
      <c r="N427">
        <v>69</v>
      </c>
      <c r="O427">
        <v>167</v>
      </c>
      <c r="P427">
        <v>2109</v>
      </c>
      <c r="Q427">
        <v>190</v>
      </c>
      <c r="R427" t="s">
        <v>1391</v>
      </c>
      <c r="S427" s="3" t="s">
        <v>117</v>
      </c>
      <c r="T427" s="3">
        <f t="shared" si="18"/>
        <v>1</v>
      </c>
      <c r="U427" t="s">
        <v>96</v>
      </c>
      <c r="V427" t="s">
        <v>142</v>
      </c>
      <c r="W427" t="s">
        <v>95</v>
      </c>
      <c r="X427">
        <v>0</v>
      </c>
      <c r="Y427" t="s">
        <v>41</v>
      </c>
      <c r="Z427" t="s">
        <v>92</v>
      </c>
      <c r="AA427" t="s">
        <v>63</v>
      </c>
      <c r="AB427" t="s">
        <v>206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 t="s">
        <v>1395</v>
      </c>
      <c r="AK427" t="s">
        <v>65</v>
      </c>
      <c r="AL427" t="s">
        <v>66</v>
      </c>
      <c r="AM427" t="str">
        <f t="shared" si="19"/>
        <v>2024-2027</v>
      </c>
      <c r="AN427">
        <f t="shared" si="20"/>
        <v>3</v>
      </c>
    </row>
    <row r="428" spans="1:40" x14ac:dyDescent="0.2">
      <c r="A428">
        <v>427</v>
      </c>
      <c r="B428" t="s">
        <v>1396</v>
      </c>
      <c r="C428" t="s">
        <v>1717</v>
      </c>
      <c r="D428" t="s">
        <v>60</v>
      </c>
      <c r="E428" t="s">
        <v>150</v>
      </c>
      <c r="F428" t="s">
        <v>151</v>
      </c>
      <c r="G428">
        <v>63</v>
      </c>
      <c r="H428">
        <v>28.807365019999999</v>
      </c>
      <c r="I428" t="s">
        <v>140</v>
      </c>
      <c r="J428">
        <v>50</v>
      </c>
      <c r="K428">
        <v>17.202806359</v>
      </c>
      <c r="L428">
        <v>25</v>
      </c>
      <c r="M428" t="s">
        <v>49</v>
      </c>
      <c r="N428">
        <v>41</v>
      </c>
      <c r="O428">
        <v>80</v>
      </c>
      <c r="P428">
        <v>1934</v>
      </c>
      <c r="Q428">
        <v>191</v>
      </c>
      <c r="R428" t="s">
        <v>1398</v>
      </c>
      <c r="S428" s="3" t="s">
        <v>90</v>
      </c>
      <c r="T428" s="3">
        <f t="shared" si="18"/>
        <v>1</v>
      </c>
      <c r="U428" t="s">
        <v>96</v>
      </c>
      <c r="V428" t="s">
        <v>142</v>
      </c>
      <c r="W428" t="s">
        <v>95</v>
      </c>
      <c r="X428">
        <v>0</v>
      </c>
      <c r="Y428" t="s">
        <v>41</v>
      </c>
      <c r="Z428" t="s">
        <v>92</v>
      </c>
      <c r="AA428" t="s">
        <v>43</v>
      </c>
      <c r="AB428" t="s">
        <v>44</v>
      </c>
      <c r="AC428">
        <v>2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1</v>
      </c>
      <c r="AJ428" t="s">
        <v>1397</v>
      </c>
      <c r="AK428" t="s">
        <v>55</v>
      </c>
      <c r="AL428" t="s">
        <v>56</v>
      </c>
      <c r="AM428" t="str">
        <f t="shared" si="19"/>
        <v>2022-2027</v>
      </c>
      <c r="AN428">
        <f t="shared" si="20"/>
        <v>5</v>
      </c>
    </row>
    <row r="429" spans="1:40" x14ac:dyDescent="0.2">
      <c r="A429">
        <v>428</v>
      </c>
      <c r="B429" t="s">
        <v>1399</v>
      </c>
      <c r="C429" t="s">
        <v>1718</v>
      </c>
      <c r="D429" t="s">
        <v>186</v>
      </c>
      <c r="E429" t="s">
        <v>98</v>
      </c>
      <c r="F429" t="s">
        <v>99</v>
      </c>
      <c r="G429">
        <v>41</v>
      </c>
      <c r="H429">
        <v>15.721581909999999</v>
      </c>
      <c r="I429" t="s">
        <v>88</v>
      </c>
      <c r="J429">
        <v>46</v>
      </c>
      <c r="K429">
        <v>28.165121969999991</v>
      </c>
      <c r="L429">
        <v>2</v>
      </c>
      <c r="M429" t="s">
        <v>97</v>
      </c>
      <c r="N429">
        <v>0</v>
      </c>
      <c r="O429">
        <v>61</v>
      </c>
      <c r="P429">
        <v>26</v>
      </c>
      <c r="Q429">
        <v>191</v>
      </c>
      <c r="R429" t="s">
        <v>1398</v>
      </c>
      <c r="S429" s="3" t="s">
        <v>90</v>
      </c>
      <c r="T429" s="3">
        <f t="shared" si="18"/>
        <v>1</v>
      </c>
      <c r="U429" t="s">
        <v>96</v>
      </c>
      <c r="V429" t="s">
        <v>142</v>
      </c>
      <c r="W429" t="s">
        <v>95</v>
      </c>
      <c r="X429">
        <v>0</v>
      </c>
      <c r="Y429" t="s">
        <v>41</v>
      </c>
      <c r="Z429" t="s">
        <v>92</v>
      </c>
      <c r="AA429" t="s">
        <v>43</v>
      </c>
      <c r="AB429" t="s">
        <v>44</v>
      </c>
      <c r="AC429">
        <v>2</v>
      </c>
      <c r="AD429">
        <v>0</v>
      </c>
      <c r="AE429">
        <v>0</v>
      </c>
      <c r="AF429">
        <v>1</v>
      </c>
      <c r="AG429">
        <v>1</v>
      </c>
      <c r="AH429">
        <v>0</v>
      </c>
      <c r="AI429">
        <v>0</v>
      </c>
      <c r="AJ429" t="s">
        <v>1400</v>
      </c>
      <c r="AK429" t="s">
        <v>193</v>
      </c>
      <c r="AL429" t="s">
        <v>194</v>
      </c>
      <c r="AM429" t="str">
        <f t="shared" si="19"/>
        <v>2018-2021</v>
      </c>
      <c r="AN429">
        <f t="shared" si="20"/>
        <v>3</v>
      </c>
    </row>
    <row r="430" spans="1:40" x14ac:dyDescent="0.2">
      <c r="A430">
        <v>429</v>
      </c>
      <c r="B430" t="s">
        <v>1403</v>
      </c>
      <c r="C430" t="s">
        <v>1718</v>
      </c>
      <c r="D430" t="s">
        <v>60</v>
      </c>
      <c r="E430" t="s">
        <v>150</v>
      </c>
      <c r="F430" t="s">
        <v>961</v>
      </c>
      <c r="G430">
        <v>5</v>
      </c>
      <c r="H430">
        <v>1.5442147799999999</v>
      </c>
      <c r="I430" t="s">
        <v>960</v>
      </c>
      <c r="J430">
        <v>2</v>
      </c>
      <c r="K430">
        <v>0.95398544000000007</v>
      </c>
      <c r="L430">
        <v>1</v>
      </c>
      <c r="M430" t="s">
        <v>137</v>
      </c>
      <c r="N430">
        <v>1</v>
      </c>
      <c r="O430">
        <v>6</v>
      </c>
      <c r="P430">
        <v>19</v>
      </c>
      <c r="Q430">
        <v>192</v>
      </c>
      <c r="R430" t="s">
        <v>1402</v>
      </c>
      <c r="S430" s="3" t="s">
        <v>90</v>
      </c>
      <c r="T430" s="3">
        <f t="shared" si="18"/>
        <v>1</v>
      </c>
      <c r="U430" t="s">
        <v>96</v>
      </c>
      <c r="V430" t="s">
        <v>142</v>
      </c>
      <c r="W430" t="s">
        <v>95</v>
      </c>
      <c r="X430">
        <v>0</v>
      </c>
      <c r="Y430" t="s">
        <v>41</v>
      </c>
      <c r="Z430" t="s">
        <v>92</v>
      </c>
      <c r="AA430" t="s">
        <v>63</v>
      </c>
      <c r="AB430" t="s">
        <v>136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 t="s">
        <v>1401</v>
      </c>
      <c r="AK430" t="s">
        <v>65</v>
      </c>
      <c r="AL430" t="s">
        <v>66</v>
      </c>
      <c r="AM430" t="str">
        <f t="shared" si="19"/>
        <v>2024-2027</v>
      </c>
      <c r="AN430">
        <f t="shared" si="20"/>
        <v>3</v>
      </c>
    </row>
    <row r="431" spans="1:40" x14ac:dyDescent="0.2">
      <c r="A431">
        <v>430</v>
      </c>
      <c r="B431" t="s">
        <v>1404</v>
      </c>
      <c r="C431" t="s">
        <v>1717</v>
      </c>
      <c r="D431" t="s">
        <v>227</v>
      </c>
      <c r="E431" t="s">
        <v>227</v>
      </c>
      <c r="F431" t="s">
        <v>227</v>
      </c>
      <c r="I431" t="s">
        <v>226</v>
      </c>
      <c r="M431" t="s">
        <v>226</v>
      </c>
      <c r="Q431">
        <v>192</v>
      </c>
      <c r="R431" t="s">
        <v>1402</v>
      </c>
      <c r="S431" s="3" t="s">
        <v>90</v>
      </c>
      <c r="T431" s="3">
        <f t="shared" si="18"/>
        <v>1</v>
      </c>
      <c r="U431" t="s">
        <v>96</v>
      </c>
      <c r="V431" t="s">
        <v>142</v>
      </c>
      <c r="W431" t="s">
        <v>95</v>
      </c>
      <c r="X431">
        <v>0</v>
      </c>
      <c r="Y431" t="s">
        <v>41</v>
      </c>
      <c r="Z431" t="s">
        <v>92</v>
      </c>
      <c r="AA431" t="s">
        <v>63</v>
      </c>
      <c r="AB431" t="s">
        <v>136</v>
      </c>
      <c r="AC431">
        <v>2</v>
      </c>
      <c r="AD431">
        <v>0</v>
      </c>
      <c r="AE431">
        <v>1</v>
      </c>
      <c r="AF431">
        <v>1</v>
      </c>
      <c r="AG431">
        <v>0</v>
      </c>
      <c r="AH431">
        <v>0</v>
      </c>
      <c r="AI431">
        <v>0</v>
      </c>
      <c r="AJ431" s="4" t="s">
        <v>226</v>
      </c>
      <c r="AK431" t="s">
        <v>156</v>
      </c>
      <c r="AL431" t="s">
        <v>157</v>
      </c>
      <c r="AM431" t="str">
        <f t="shared" si="19"/>
        <v>2016-2020</v>
      </c>
      <c r="AN431">
        <f t="shared" si="20"/>
        <v>4</v>
      </c>
    </row>
    <row r="432" spans="1:40" x14ac:dyDescent="0.2">
      <c r="A432">
        <v>431</v>
      </c>
      <c r="B432" t="s">
        <v>1405</v>
      </c>
      <c r="C432" t="s">
        <v>1717</v>
      </c>
      <c r="D432" t="s">
        <v>123</v>
      </c>
      <c r="E432" t="s">
        <v>68</v>
      </c>
      <c r="F432" t="s">
        <v>509</v>
      </c>
      <c r="G432">
        <v>62</v>
      </c>
      <c r="H432">
        <v>39.58187969999998</v>
      </c>
      <c r="I432" t="s">
        <v>507</v>
      </c>
      <c r="J432">
        <v>52</v>
      </c>
      <c r="K432">
        <v>21.30165495</v>
      </c>
      <c r="L432">
        <v>10</v>
      </c>
      <c r="M432" t="s">
        <v>119</v>
      </c>
      <c r="N432">
        <v>11</v>
      </c>
      <c r="O432">
        <v>66</v>
      </c>
      <c r="P432">
        <v>500</v>
      </c>
      <c r="Q432">
        <v>192</v>
      </c>
      <c r="R432" t="s">
        <v>1402</v>
      </c>
      <c r="S432" s="3" t="s">
        <v>90</v>
      </c>
      <c r="T432" s="3">
        <f t="shared" si="18"/>
        <v>1</v>
      </c>
      <c r="U432" t="s">
        <v>96</v>
      </c>
      <c r="V432" t="s">
        <v>142</v>
      </c>
      <c r="W432" t="s">
        <v>95</v>
      </c>
      <c r="X432">
        <v>0</v>
      </c>
      <c r="Y432" t="s">
        <v>41</v>
      </c>
      <c r="Z432" t="s">
        <v>92</v>
      </c>
      <c r="AA432" t="s">
        <v>63</v>
      </c>
      <c r="AB432" t="s">
        <v>136</v>
      </c>
      <c r="AC432">
        <v>2</v>
      </c>
      <c r="AD432">
        <v>1</v>
      </c>
      <c r="AE432">
        <v>1</v>
      </c>
      <c r="AF432">
        <v>0</v>
      </c>
      <c r="AG432">
        <v>0</v>
      </c>
      <c r="AH432">
        <v>0</v>
      </c>
      <c r="AI432">
        <v>0</v>
      </c>
      <c r="AJ432" t="s">
        <v>1406</v>
      </c>
      <c r="AK432" t="s">
        <v>82</v>
      </c>
      <c r="AL432" t="s">
        <v>83</v>
      </c>
      <c r="AM432" t="str">
        <f t="shared" si="19"/>
        <v>2014-2016</v>
      </c>
      <c r="AN432">
        <f t="shared" si="20"/>
        <v>2</v>
      </c>
    </row>
    <row r="433" spans="1:40" x14ac:dyDescent="0.2">
      <c r="A433">
        <v>432</v>
      </c>
      <c r="B433" t="s">
        <v>1407</v>
      </c>
      <c r="C433" t="s">
        <v>1718</v>
      </c>
      <c r="D433" t="s">
        <v>114</v>
      </c>
      <c r="E433" t="s">
        <v>68</v>
      </c>
      <c r="F433" t="s">
        <v>447</v>
      </c>
      <c r="G433">
        <v>49</v>
      </c>
      <c r="H433">
        <v>22.14412286</v>
      </c>
      <c r="I433" t="s">
        <v>446</v>
      </c>
      <c r="J433">
        <v>27</v>
      </c>
      <c r="K433">
        <v>9.8413694449999998</v>
      </c>
      <c r="L433">
        <v>10</v>
      </c>
      <c r="M433" t="s">
        <v>119</v>
      </c>
      <c r="N433">
        <v>11</v>
      </c>
      <c r="O433">
        <v>70</v>
      </c>
      <c r="P433">
        <v>570</v>
      </c>
      <c r="Q433">
        <v>192</v>
      </c>
      <c r="R433" t="s">
        <v>1402</v>
      </c>
      <c r="S433" s="3" t="s">
        <v>90</v>
      </c>
      <c r="T433" s="3">
        <f t="shared" si="18"/>
        <v>1</v>
      </c>
      <c r="U433" t="s">
        <v>96</v>
      </c>
      <c r="V433" t="s">
        <v>142</v>
      </c>
      <c r="W433" t="s">
        <v>95</v>
      </c>
      <c r="X433">
        <v>0</v>
      </c>
      <c r="Y433" t="s">
        <v>41</v>
      </c>
      <c r="Z433" t="s">
        <v>92</v>
      </c>
      <c r="AA433" t="s">
        <v>63</v>
      </c>
      <c r="AB433" t="s">
        <v>136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 t="s">
        <v>1408</v>
      </c>
      <c r="AK433" t="s">
        <v>125</v>
      </c>
      <c r="AL433" t="s">
        <v>126</v>
      </c>
      <c r="AM433" t="str">
        <f t="shared" si="19"/>
        <v>2022-2024</v>
      </c>
      <c r="AN433">
        <f t="shared" si="20"/>
        <v>2</v>
      </c>
    </row>
    <row r="434" spans="1:40" x14ac:dyDescent="0.2">
      <c r="A434">
        <v>433</v>
      </c>
      <c r="B434" t="s">
        <v>1409</v>
      </c>
      <c r="C434" t="s">
        <v>1717</v>
      </c>
      <c r="D434" t="s">
        <v>123</v>
      </c>
      <c r="E434" t="s">
        <v>68</v>
      </c>
      <c r="F434" t="s">
        <v>1412</v>
      </c>
      <c r="G434">
        <v>130</v>
      </c>
      <c r="H434">
        <v>72.205310299999979</v>
      </c>
      <c r="I434" t="s">
        <v>1411</v>
      </c>
      <c r="J434">
        <v>64</v>
      </c>
      <c r="K434">
        <v>3.5731550300000001</v>
      </c>
      <c r="L434">
        <v>13</v>
      </c>
      <c r="M434" t="s">
        <v>67</v>
      </c>
      <c r="N434">
        <v>17</v>
      </c>
      <c r="O434">
        <v>158</v>
      </c>
      <c r="P434">
        <v>695</v>
      </c>
      <c r="Q434">
        <v>192</v>
      </c>
      <c r="R434" t="s">
        <v>1402</v>
      </c>
      <c r="S434" s="3" t="s">
        <v>90</v>
      </c>
      <c r="T434" s="3">
        <f t="shared" si="18"/>
        <v>1</v>
      </c>
      <c r="U434" t="s">
        <v>96</v>
      </c>
      <c r="V434" t="s">
        <v>142</v>
      </c>
      <c r="W434" t="s">
        <v>95</v>
      </c>
      <c r="X434">
        <v>0</v>
      </c>
      <c r="Y434" t="s">
        <v>41</v>
      </c>
      <c r="Z434" t="s">
        <v>92</v>
      </c>
      <c r="AA434" t="s">
        <v>63</v>
      </c>
      <c r="AB434" t="s">
        <v>136</v>
      </c>
      <c r="AC434">
        <v>1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 t="s">
        <v>1410</v>
      </c>
      <c r="AK434" t="s">
        <v>93</v>
      </c>
      <c r="AL434" t="s">
        <v>94</v>
      </c>
      <c r="AM434" t="str">
        <f t="shared" si="19"/>
        <v>2020-2021</v>
      </c>
      <c r="AN434">
        <f t="shared" si="20"/>
        <v>1</v>
      </c>
    </row>
    <row r="435" spans="1:40" x14ac:dyDescent="0.2">
      <c r="A435">
        <v>434</v>
      </c>
      <c r="B435" t="s">
        <v>1413</v>
      </c>
      <c r="C435" t="s">
        <v>1718</v>
      </c>
      <c r="D435" t="s">
        <v>394</v>
      </c>
      <c r="E435" t="s">
        <v>98</v>
      </c>
      <c r="F435" t="s">
        <v>99</v>
      </c>
      <c r="G435">
        <v>15</v>
      </c>
      <c r="H435">
        <v>5.4879247199999996</v>
      </c>
      <c r="I435" t="s">
        <v>88</v>
      </c>
      <c r="J435">
        <v>16</v>
      </c>
      <c r="K435">
        <v>7.8679729599999986</v>
      </c>
      <c r="L435">
        <v>3</v>
      </c>
      <c r="M435" t="s">
        <v>97</v>
      </c>
      <c r="N435">
        <v>1</v>
      </c>
      <c r="O435">
        <v>21</v>
      </c>
      <c r="P435">
        <v>39</v>
      </c>
      <c r="Q435">
        <v>193</v>
      </c>
      <c r="R435" t="s">
        <v>1415</v>
      </c>
      <c r="S435" s="3">
        <v>4</v>
      </c>
      <c r="T435" s="3">
        <f t="shared" si="18"/>
        <v>1</v>
      </c>
      <c r="U435" t="s">
        <v>96</v>
      </c>
      <c r="V435" t="s">
        <v>142</v>
      </c>
      <c r="W435" t="s">
        <v>95</v>
      </c>
      <c r="X435">
        <v>0</v>
      </c>
      <c r="Y435" t="s">
        <v>41</v>
      </c>
      <c r="Z435" t="s">
        <v>92</v>
      </c>
      <c r="AA435" t="s">
        <v>191</v>
      </c>
      <c r="AB435" t="s">
        <v>443</v>
      </c>
      <c r="AC435">
        <v>2</v>
      </c>
      <c r="AD435">
        <v>0</v>
      </c>
      <c r="AE435">
        <v>0</v>
      </c>
      <c r="AF435">
        <v>1</v>
      </c>
      <c r="AG435">
        <v>1</v>
      </c>
      <c r="AH435">
        <v>0</v>
      </c>
      <c r="AI435">
        <v>0</v>
      </c>
      <c r="AJ435" t="s">
        <v>1414</v>
      </c>
      <c r="AK435" t="s">
        <v>193</v>
      </c>
      <c r="AL435" t="s">
        <v>194</v>
      </c>
      <c r="AM435" t="str">
        <f t="shared" si="19"/>
        <v>2018-2021</v>
      </c>
      <c r="AN435">
        <f t="shared" si="20"/>
        <v>3</v>
      </c>
    </row>
    <row r="436" spans="1:40" x14ac:dyDescent="0.2">
      <c r="A436">
        <v>435</v>
      </c>
      <c r="B436" t="s">
        <v>1416</v>
      </c>
      <c r="C436" t="s">
        <v>1718</v>
      </c>
      <c r="D436" t="s">
        <v>72</v>
      </c>
      <c r="E436" t="s">
        <v>68</v>
      </c>
      <c r="F436" t="s">
        <v>408</v>
      </c>
      <c r="G436">
        <v>81</v>
      </c>
      <c r="H436">
        <v>28.52356296000001</v>
      </c>
      <c r="I436" t="s">
        <v>407</v>
      </c>
      <c r="J436">
        <v>70</v>
      </c>
      <c r="K436">
        <v>38.307868139999989</v>
      </c>
      <c r="L436">
        <v>9</v>
      </c>
      <c r="M436" t="s">
        <v>119</v>
      </c>
      <c r="N436">
        <v>8</v>
      </c>
      <c r="O436">
        <v>86</v>
      </c>
      <c r="P436">
        <v>470</v>
      </c>
      <c r="Q436">
        <v>194</v>
      </c>
      <c r="R436" t="s">
        <v>1418</v>
      </c>
      <c r="S436" s="3" t="s">
        <v>346</v>
      </c>
      <c r="T436" s="3">
        <f t="shared" si="18"/>
        <v>1</v>
      </c>
      <c r="U436" t="s">
        <v>48</v>
      </c>
      <c r="V436" t="s">
        <v>142</v>
      </c>
      <c r="W436" t="s">
        <v>95</v>
      </c>
      <c r="X436">
        <v>0</v>
      </c>
      <c r="Y436" t="s">
        <v>41</v>
      </c>
      <c r="Z436" t="s">
        <v>92</v>
      </c>
      <c r="AA436" t="s">
        <v>360</v>
      </c>
      <c r="AB436" t="s">
        <v>650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 t="s">
        <v>1417</v>
      </c>
      <c r="AK436" t="s">
        <v>65</v>
      </c>
      <c r="AL436" t="s">
        <v>66</v>
      </c>
      <c r="AM436" t="str">
        <f t="shared" si="19"/>
        <v>2024-2027</v>
      </c>
      <c r="AN436">
        <f t="shared" si="20"/>
        <v>3</v>
      </c>
    </row>
    <row r="437" spans="1:40" x14ac:dyDescent="0.2">
      <c r="A437">
        <v>436</v>
      </c>
      <c r="B437" t="s">
        <v>1419</v>
      </c>
      <c r="C437" t="s">
        <v>1718</v>
      </c>
      <c r="D437" t="s">
        <v>60</v>
      </c>
      <c r="E437" t="s">
        <v>68</v>
      </c>
      <c r="F437" t="s">
        <v>1422</v>
      </c>
      <c r="G437">
        <v>12</v>
      </c>
      <c r="H437">
        <v>5.6590084999999997</v>
      </c>
      <c r="I437" t="s">
        <v>1421</v>
      </c>
      <c r="J437">
        <v>5</v>
      </c>
      <c r="K437">
        <v>2.41019374</v>
      </c>
      <c r="L437">
        <v>4</v>
      </c>
      <c r="M437" t="s">
        <v>97</v>
      </c>
      <c r="N437">
        <v>4</v>
      </c>
      <c r="O437">
        <v>13</v>
      </c>
      <c r="P437">
        <v>545</v>
      </c>
      <c r="Q437">
        <v>195</v>
      </c>
      <c r="R437" t="s">
        <v>1423</v>
      </c>
      <c r="S437" s="3" t="s">
        <v>90</v>
      </c>
      <c r="T437" s="3">
        <f t="shared" si="18"/>
        <v>1</v>
      </c>
      <c r="U437" t="s">
        <v>96</v>
      </c>
      <c r="V437" t="s">
        <v>142</v>
      </c>
      <c r="W437" t="s">
        <v>95</v>
      </c>
      <c r="X437">
        <v>0</v>
      </c>
      <c r="Y437" t="s">
        <v>41</v>
      </c>
      <c r="Z437" t="s">
        <v>92</v>
      </c>
      <c r="AA437" t="s">
        <v>63</v>
      </c>
      <c r="AB437" t="s">
        <v>64</v>
      </c>
      <c r="AC437">
        <v>2</v>
      </c>
      <c r="AD437">
        <v>0</v>
      </c>
      <c r="AE437">
        <v>0</v>
      </c>
      <c r="AF437">
        <v>0</v>
      </c>
      <c r="AG437">
        <v>1</v>
      </c>
      <c r="AH437">
        <v>1</v>
      </c>
      <c r="AI437">
        <v>0</v>
      </c>
      <c r="AJ437" t="s">
        <v>1420</v>
      </c>
      <c r="AK437" t="s">
        <v>213</v>
      </c>
      <c r="AL437" t="s">
        <v>214</v>
      </c>
      <c r="AM437" t="str">
        <f t="shared" si="19"/>
        <v>2020-2024</v>
      </c>
      <c r="AN437">
        <f t="shared" si="20"/>
        <v>4</v>
      </c>
    </row>
    <row r="438" spans="1:40" x14ac:dyDescent="0.2">
      <c r="A438">
        <v>437</v>
      </c>
      <c r="B438" t="s">
        <v>1424</v>
      </c>
      <c r="C438" t="s">
        <v>1718</v>
      </c>
      <c r="D438" t="s">
        <v>114</v>
      </c>
      <c r="E438" t="s">
        <v>50</v>
      </c>
      <c r="F438" t="s">
        <v>120</v>
      </c>
      <c r="G438">
        <v>9</v>
      </c>
      <c r="H438">
        <v>5.4017455000000014</v>
      </c>
      <c r="I438" t="s">
        <v>115</v>
      </c>
      <c r="J438">
        <v>7</v>
      </c>
      <c r="K438">
        <v>0.14262008400000001</v>
      </c>
      <c r="L438">
        <v>6</v>
      </c>
      <c r="M438" t="s">
        <v>119</v>
      </c>
      <c r="N438">
        <v>3</v>
      </c>
      <c r="O438">
        <v>9</v>
      </c>
      <c r="P438">
        <v>167</v>
      </c>
      <c r="Q438">
        <v>195</v>
      </c>
      <c r="R438" t="s">
        <v>1423</v>
      </c>
      <c r="S438" s="3" t="s">
        <v>90</v>
      </c>
      <c r="T438" s="3">
        <f t="shared" si="18"/>
        <v>1</v>
      </c>
      <c r="U438" t="s">
        <v>96</v>
      </c>
      <c r="V438" t="s">
        <v>142</v>
      </c>
      <c r="W438" t="s">
        <v>95</v>
      </c>
      <c r="X438">
        <v>0</v>
      </c>
      <c r="Y438" t="s">
        <v>41</v>
      </c>
      <c r="Z438" t="s">
        <v>92</v>
      </c>
      <c r="AA438" t="s">
        <v>63</v>
      </c>
      <c r="AB438" t="s">
        <v>64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 t="s">
        <v>1425</v>
      </c>
      <c r="AK438" t="s">
        <v>65</v>
      </c>
      <c r="AL438" t="s">
        <v>66</v>
      </c>
      <c r="AM438" t="str">
        <f t="shared" si="19"/>
        <v>2024-2027</v>
      </c>
      <c r="AN438">
        <f t="shared" si="20"/>
        <v>3</v>
      </c>
    </row>
    <row r="439" spans="1:40" x14ac:dyDescent="0.2">
      <c r="A439">
        <v>438</v>
      </c>
      <c r="B439" t="s">
        <v>1426</v>
      </c>
      <c r="C439" t="s">
        <v>1717</v>
      </c>
      <c r="D439" t="s">
        <v>114</v>
      </c>
      <c r="E439" t="s">
        <v>68</v>
      </c>
      <c r="F439" t="s">
        <v>702</v>
      </c>
      <c r="G439">
        <v>1</v>
      </c>
      <c r="H439">
        <v>0.64615460000000002</v>
      </c>
      <c r="I439" t="s">
        <v>701</v>
      </c>
      <c r="J439">
        <v>1</v>
      </c>
      <c r="K439">
        <v>0.32891983000000002</v>
      </c>
      <c r="L439">
        <v>1</v>
      </c>
      <c r="M439" t="s">
        <v>137</v>
      </c>
      <c r="N439">
        <v>0</v>
      </c>
      <c r="O439">
        <v>2</v>
      </c>
      <c r="P439">
        <v>1</v>
      </c>
      <c r="Q439">
        <v>195</v>
      </c>
      <c r="R439" t="s">
        <v>1423</v>
      </c>
      <c r="S439" s="3" t="s">
        <v>90</v>
      </c>
      <c r="T439" s="3">
        <f t="shared" si="18"/>
        <v>1</v>
      </c>
      <c r="U439" t="s">
        <v>96</v>
      </c>
      <c r="V439" t="s">
        <v>142</v>
      </c>
      <c r="W439" t="s">
        <v>95</v>
      </c>
      <c r="X439">
        <v>0</v>
      </c>
      <c r="Y439" t="s">
        <v>41</v>
      </c>
      <c r="Z439" t="s">
        <v>92</v>
      </c>
      <c r="AA439" t="s">
        <v>63</v>
      </c>
      <c r="AB439" t="s">
        <v>64</v>
      </c>
      <c r="AC439">
        <v>1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 t="s">
        <v>1427</v>
      </c>
      <c r="AK439" t="s">
        <v>202</v>
      </c>
      <c r="AL439" t="s">
        <v>203</v>
      </c>
      <c r="AM439" t="str">
        <f t="shared" si="19"/>
        <v>2018-2020</v>
      </c>
      <c r="AN439">
        <f t="shared" si="20"/>
        <v>2</v>
      </c>
    </row>
    <row r="440" spans="1:40" x14ac:dyDescent="0.2">
      <c r="A440">
        <v>439</v>
      </c>
      <c r="B440" t="s">
        <v>1428</v>
      </c>
      <c r="C440" t="s">
        <v>1717</v>
      </c>
      <c r="D440" t="s">
        <v>248</v>
      </c>
      <c r="E440" t="s">
        <v>68</v>
      </c>
      <c r="F440" t="s">
        <v>362</v>
      </c>
      <c r="G440">
        <v>41</v>
      </c>
      <c r="H440">
        <v>14.69252157</v>
      </c>
      <c r="I440" t="s">
        <v>357</v>
      </c>
      <c r="J440">
        <v>28</v>
      </c>
      <c r="K440">
        <v>4.3834746200000003</v>
      </c>
      <c r="L440">
        <v>15</v>
      </c>
      <c r="M440" t="s">
        <v>67</v>
      </c>
      <c r="N440">
        <v>16</v>
      </c>
      <c r="O440">
        <v>83</v>
      </c>
      <c r="P440">
        <v>678</v>
      </c>
      <c r="Q440">
        <v>196</v>
      </c>
      <c r="R440" t="s">
        <v>1430</v>
      </c>
      <c r="S440" s="3" t="s">
        <v>90</v>
      </c>
      <c r="T440" s="3">
        <f t="shared" si="18"/>
        <v>1</v>
      </c>
      <c r="U440" t="s">
        <v>96</v>
      </c>
      <c r="V440" t="s">
        <v>142</v>
      </c>
      <c r="W440" t="s">
        <v>95</v>
      </c>
      <c r="X440">
        <v>0</v>
      </c>
      <c r="Y440" t="s">
        <v>41</v>
      </c>
      <c r="Z440" t="s">
        <v>92</v>
      </c>
      <c r="AA440" t="s">
        <v>360</v>
      </c>
      <c r="AB440" t="s">
        <v>570</v>
      </c>
      <c r="AC440">
        <v>1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 t="s">
        <v>1429</v>
      </c>
      <c r="AK440" t="s">
        <v>202</v>
      </c>
      <c r="AL440" t="s">
        <v>203</v>
      </c>
      <c r="AM440" t="str">
        <f t="shared" si="19"/>
        <v>2018-2020</v>
      </c>
      <c r="AN440">
        <f t="shared" si="20"/>
        <v>2</v>
      </c>
    </row>
    <row r="441" spans="1:40" x14ac:dyDescent="0.2">
      <c r="A441">
        <v>440</v>
      </c>
      <c r="B441" t="s">
        <v>1431</v>
      </c>
      <c r="C441" t="s">
        <v>1717</v>
      </c>
      <c r="D441" t="s">
        <v>72</v>
      </c>
      <c r="E441" t="s">
        <v>68</v>
      </c>
      <c r="F441" t="s">
        <v>687</v>
      </c>
      <c r="G441">
        <v>9</v>
      </c>
      <c r="H441">
        <v>4.0426361200000001</v>
      </c>
      <c r="I441" t="s">
        <v>683</v>
      </c>
      <c r="J441">
        <v>4</v>
      </c>
      <c r="K441">
        <v>2.7371801699999998</v>
      </c>
      <c r="L441">
        <v>2</v>
      </c>
      <c r="M441" t="s">
        <v>97</v>
      </c>
      <c r="N441">
        <v>2</v>
      </c>
      <c r="O441">
        <v>12</v>
      </c>
      <c r="P441">
        <v>45</v>
      </c>
      <c r="Q441">
        <v>196</v>
      </c>
      <c r="R441" t="s">
        <v>1430</v>
      </c>
      <c r="S441" s="3" t="s">
        <v>90</v>
      </c>
      <c r="T441" s="3">
        <f t="shared" si="18"/>
        <v>1</v>
      </c>
      <c r="U441" t="s">
        <v>96</v>
      </c>
      <c r="V441" t="s">
        <v>142</v>
      </c>
      <c r="W441" t="s">
        <v>95</v>
      </c>
      <c r="X441">
        <v>0</v>
      </c>
      <c r="Y441" t="s">
        <v>41</v>
      </c>
      <c r="Z441" t="s">
        <v>92</v>
      </c>
      <c r="AA441" t="s">
        <v>360</v>
      </c>
      <c r="AB441" t="s">
        <v>570</v>
      </c>
      <c r="AC441">
        <v>3</v>
      </c>
      <c r="AD441">
        <v>0</v>
      </c>
      <c r="AE441">
        <v>0</v>
      </c>
      <c r="AF441">
        <v>0</v>
      </c>
      <c r="AG441">
        <v>1</v>
      </c>
      <c r="AH441">
        <v>1</v>
      </c>
      <c r="AI441">
        <v>1</v>
      </c>
      <c r="AJ441" t="s">
        <v>1432</v>
      </c>
      <c r="AK441" t="s">
        <v>269</v>
      </c>
      <c r="AL441" t="s">
        <v>270</v>
      </c>
      <c r="AM441" t="str">
        <f t="shared" si="19"/>
        <v>2020-2027</v>
      </c>
      <c r="AN441">
        <f t="shared" si="20"/>
        <v>7</v>
      </c>
    </row>
    <row r="442" spans="1:40" x14ac:dyDescent="0.2">
      <c r="A442">
        <v>441</v>
      </c>
      <c r="B442" t="s">
        <v>1433</v>
      </c>
      <c r="C442" t="s">
        <v>1717</v>
      </c>
      <c r="D442" t="s">
        <v>72</v>
      </c>
      <c r="E442" t="s">
        <v>68</v>
      </c>
      <c r="F442" t="s">
        <v>408</v>
      </c>
      <c r="G442">
        <v>163</v>
      </c>
      <c r="H442">
        <v>77.235784809999956</v>
      </c>
      <c r="I442" t="s">
        <v>407</v>
      </c>
      <c r="J442">
        <v>73</v>
      </c>
      <c r="K442">
        <v>34.805989659999987</v>
      </c>
      <c r="L442">
        <v>25</v>
      </c>
      <c r="M442" t="s">
        <v>49</v>
      </c>
      <c r="N442">
        <v>68</v>
      </c>
      <c r="O442">
        <v>198</v>
      </c>
      <c r="P442">
        <v>2431</v>
      </c>
      <c r="Q442">
        <v>196</v>
      </c>
      <c r="R442" t="s">
        <v>1430</v>
      </c>
      <c r="S442" s="3" t="s">
        <v>90</v>
      </c>
      <c r="T442" s="3">
        <f t="shared" si="18"/>
        <v>1</v>
      </c>
      <c r="U442" t="s">
        <v>96</v>
      </c>
      <c r="V442" t="s">
        <v>142</v>
      </c>
      <c r="W442" t="s">
        <v>95</v>
      </c>
      <c r="X442">
        <v>0</v>
      </c>
      <c r="Y442" t="s">
        <v>41</v>
      </c>
      <c r="Z442" t="s">
        <v>92</v>
      </c>
      <c r="AA442" t="s">
        <v>360</v>
      </c>
      <c r="AB442" t="s">
        <v>570</v>
      </c>
      <c r="AC442">
        <v>1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 t="s">
        <v>1434</v>
      </c>
      <c r="AK442" t="s">
        <v>320</v>
      </c>
      <c r="AL442" t="s">
        <v>321</v>
      </c>
      <c r="AM442" t="str">
        <f t="shared" si="19"/>
        <v>2016-2018</v>
      </c>
      <c r="AN442">
        <f t="shared" si="20"/>
        <v>2</v>
      </c>
    </row>
    <row r="443" spans="1:40" x14ac:dyDescent="0.2">
      <c r="A443">
        <v>442</v>
      </c>
      <c r="B443" t="s">
        <v>1435</v>
      </c>
      <c r="C443" t="s">
        <v>1718</v>
      </c>
      <c r="D443" t="s">
        <v>72</v>
      </c>
      <c r="E443" t="s">
        <v>68</v>
      </c>
      <c r="F443" t="s">
        <v>493</v>
      </c>
      <c r="G443">
        <v>4</v>
      </c>
      <c r="H443">
        <v>0.72560578600000003</v>
      </c>
      <c r="I443" t="s">
        <v>492</v>
      </c>
      <c r="J443">
        <v>3</v>
      </c>
      <c r="K443">
        <v>1.36308355</v>
      </c>
      <c r="L443">
        <v>2</v>
      </c>
      <c r="M443" t="s">
        <v>97</v>
      </c>
      <c r="N443">
        <v>2</v>
      </c>
      <c r="O443">
        <v>5</v>
      </c>
      <c r="P443">
        <v>146</v>
      </c>
      <c r="Q443">
        <v>196</v>
      </c>
      <c r="R443" t="s">
        <v>1430</v>
      </c>
      <c r="S443" s="3" t="s">
        <v>90</v>
      </c>
      <c r="T443" s="3">
        <f t="shared" si="18"/>
        <v>1</v>
      </c>
      <c r="U443" t="s">
        <v>96</v>
      </c>
      <c r="V443" t="s">
        <v>142</v>
      </c>
      <c r="W443" t="s">
        <v>95</v>
      </c>
      <c r="X443">
        <v>0</v>
      </c>
      <c r="Y443" t="s">
        <v>41</v>
      </c>
      <c r="Z443" t="s">
        <v>92</v>
      </c>
      <c r="AA443" t="s">
        <v>360</v>
      </c>
      <c r="AB443" t="s">
        <v>570</v>
      </c>
      <c r="AC443">
        <v>2</v>
      </c>
      <c r="AD443">
        <v>1</v>
      </c>
      <c r="AE443">
        <v>1</v>
      </c>
      <c r="AF443">
        <v>0</v>
      </c>
      <c r="AG443">
        <v>0</v>
      </c>
      <c r="AH443">
        <v>0</v>
      </c>
      <c r="AI443">
        <v>0</v>
      </c>
      <c r="AJ443" t="s">
        <v>1436</v>
      </c>
      <c r="AK443" t="s">
        <v>82</v>
      </c>
      <c r="AL443" t="s">
        <v>83</v>
      </c>
      <c r="AM443" t="str">
        <f t="shared" si="19"/>
        <v>2014-2016</v>
      </c>
      <c r="AN443">
        <f t="shared" si="20"/>
        <v>2</v>
      </c>
    </row>
    <row r="444" spans="1:40" x14ac:dyDescent="0.2">
      <c r="A444">
        <v>443</v>
      </c>
      <c r="B444" t="s">
        <v>1437</v>
      </c>
      <c r="C444" t="s">
        <v>1718</v>
      </c>
      <c r="D444" t="s">
        <v>123</v>
      </c>
      <c r="E444" t="s">
        <v>98</v>
      </c>
      <c r="F444" t="s">
        <v>99</v>
      </c>
      <c r="G444">
        <v>6</v>
      </c>
      <c r="H444">
        <v>3.1885377199999998</v>
      </c>
      <c r="I444" t="s">
        <v>88</v>
      </c>
      <c r="J444">
        <v>6</v>
      </c>
      <c r="K444">
        <v>3.3551555</v>
      </c>
      <c r="L444">
        <v>2</v>
      </c>
      <c r="M444" t="s">
        <v>97</v>
      </c>
      <c r="N444">
        <v>1</v>
      </c>
      <c r="O444">
        <v>10</v>
      </c>
      <c r="P444">
        <v>44</v>
      </c>
      <c r="Q444">
        <v>197</v>
      </c>
      <c r="R444" t="s">
        <v>1439</v>
      </c>
      <c r="S444" s="3">
        <v>4</v>
      </c>
      <c r="T444" s="3">
        <f t="shared" si="18"/>
        <v>1</v>
      </c>
      <c r="U444" t="s">
        <v>96</v>
      </c>
      <c r="V444" t="s">
        <v>142</v>
      </c>
      <c r="W444" t="s">
        <v>95</v>
      </c>
      <c r="X444">
        <v>0</v>
      </c>
      <c r="Y444" t="s">
        <v>41</v>
      </c>
      <c r="Z444" t="s">
        <v>92</v>
      </c>
      <c r="AA444" t="s">
        <v>63</v>
      </c>
      <c r="AB444" t="s">
        <v>587</v>
      </c>
      <c r="AC444">
        <v>2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1</v>
      </c>
      <c r="AJ444" t="s">
        <v>1438</v>
      </c>
      <c r="AK444" t="s">
        <v>55</v>
      </c>
      <c r="AL444" t="s">
        <v>56</v>
      </c>
      <c r="AM444" t="str">
        <f t="shared" si="19"/>
        <v>2022-2027</v>
      </c>
      <c r="AN444">
        <f t="shared" si="20"/>
        <v>5</v>
      </c>
    </row>
    <row r="445" spans="1:40" x14ac:dyDescent="0.2">
      <c r="A445">
        <v>444</v>
      </c>
      <c r="B445" t="s">
        <v>1440</v>
      </c>
      <c r="C445" t="s">
        <v>1717</v>
      </c>
      <c r="D445" t="s">
        <v>72</v>
      </c>
      <c r="E445" t="s">
        <v>68</v>
      </c>
      <c r="F445" t="s">
        <v>849</v>
      </c>
      <c r="G445">
        <v>41</v>
      </c>
      <c r="H445">
        <v>17.587716969999999</v>
      </c>
      <c r="I445" t="s">
        <v>848</v>
      </c>
      <c r="J445">
        <v>28</v>
      </c>
      <c r="K445">
        <v>15.90766449</v>
      </c>
      <c r="L445">
        <v>12</v>
      </c>
      <c r="M445" t="s">
        <v>67</v>
      </c>
      <c r="N445">
        <v>14</v>
      </c>
      <c r="O445">
        <v>44</v>
      </c>
      <c r="P445">
        <v>418</v>
      </c>
      <c r="Q445">
        <v>37</v>
      </c>
      <c r="R445" t="s">
        <v>341</v>
      </c>
      <c r="S445" s="3">
        <v>4</v>
      </c>
      <c r="T445" s="3">
        <f t="shared" si="18"/>
        <v>1</v>
      </c>
      <c r="U445" t="s">
        <v>96</v>
      </c>
      <c r="V445" t="s">
        <v>142</v>
      </c>
      <c r="W445" t="s">
        <v>95</v>
      </c>
      <c r="X445">
        <v>0</v>
      </c>
      <c r="Y445" t="s">
        <v>41</v>
      </c>
      <c r="Z445" t="s">
        <v>92</v>
      </c>
      <c r="AA445" t="s">
        <v>224</v>
      </c>
      <c r="AB445" t="s">
        <v>234</v>
      </c>
      <c r="AC445">
        <v>3</v>
      </c>
      <c r="AD445">
        <v>0</v>
      </c>
      <c r="AE445">
        <v>0</v>
      </c>
      <c r="AF445">
        <v>0</v>
      </c>
      <c r="AG445">
        <v>1</v>
      </c>
      <c r="AH445">
        <v>1</v>
      </c>
      <c r="AI445">
        <v>1</v>
      </c>
      <c r="AJ445" t="s">
        <v>1441</v>
      </c>
      <c r="AK445" t="s">
        <v>269</v>
      </c>
      <c r="AL445" t="s">
        <v>270</v>
      </c>
      <c r="AM445" t="str">
        <f t="shared" si="19"/>
        <v>2020-2027</v>
      </c>
      <c r="AN445">
        <f t="shared" si="20"/>
        <v>7</v>
      </c>
    </row>
    <row r="446" spans="1:40" x14ac:dyDescent="0.2">
      <c r="A446">
        <v>445</v>
      </c>
      <c r="B446" t="s">
        <v>1442</v>
      </c>
      <c r="C446" t="s">
        <v>1718</v>
      </c>
      <c r="D446" t="s">
        <v>72</v>
      </c>
      <c r="E446" t="s">
        <v>50</v>
      </c>
      <c r="F446" t="s">
        <v>76</v>
      </c>
      <c r="G446">
        <v>119</v>
      </c>
      <c r="H446">
        <v>46.89184569399999</v>
      </c>
      <c r="I446" t="s">
        <v>73</v>
      </c>
      <c r="J446">
        <v>102</v>
      </c>
      <c r="K446">
        <v>28.105662555999999</v>
      </c>
      <c r="L446">
        <v>36</v>
      </c>
      <c r="M446" t="s">
        <v>49</v>
      </c>
      <c r="N446">
        <v>92</v>
      </c>
      <c r="O446">
        <v>176</v>
      </c>
      <c r="P446">
        <v>4725</v>
      </c>
      <c r="Q446">
        <v>37</v>
      </c>
      <c r="R446" t="s">
        <v>341</v>
      </c>
      <c r="S446" s="3">
        <v>4</v>
      </c>
      <c r="T446" s="3">
        <f t="shared" si="18"/>
        <v>1</v>
      </c>
      <c r="U446" t="s">
        <v>96</v>
      </c>
      <c r="V446" t="s">
        <v>142</v>
      </c>
      <c r="W446" t="s">
        <v>95</v>
      </c>
      <c r="X446">
        <v>0</v>
      </c>
      <c r="Y446" t="s">
        <v>41</v>
      </c>
      <c r="Z446" t="s">
        <v>92</v>
      </c>
      <c r="AA446" t="s">
        <v>224</v>
      </c>
      <c r="AB446" t="s">
        <v>234</v>
      </c>
      <c r="AC446">
        <v>2</v>
      </c>
      <c r="AD446">
        <v>1</v>
      </c>
      <c r="AE446">
        <v>1</v>
      </c>
      <c r="AF446">
        <v>0</v>
      </c>
      <c r="AG446">
        <v>0</v>
      </c>
      <c r="AH446">
        <v>0</v>
      </c>
      <c r="AI446">
        <v>0</v>
      </c>
      <c r="AJ446" t="s">
        <v>1443</v>
      </c>
      <c r="AK446" t="s">
        <v>82</v>
      </c>
      <c r="AL446" t="s">
        <v>83</v>
      </c>
      <c r="AM446" t="str">
        <f t="shared" si="19"/>
        <v>2014-2016</v>
      </c>
      <c r="AN446">
        <f t="shared" si="20"/>
        <v>2</v>
      </c>
    </row>
    <row r="447" spans="1:40" x14ac:dyDescent="0.2">
      <c r="A447">
        <v>446</v>
      </c>
      <c r="B447" t="s">
        <v>1444</v>
      </c>
      <c r="C447" t="s">
        <v>1717</v>
      </c>
      <c r="D447" t="s">
        <v>72</v>
      </c>
      <c r="E447" t="s">
        <v>68</v>
      </c>
      <c r="F447" t="s">
        <v>386</v>
      </c>
      <c r="G447">
        <v>262</v>
      </c>
      <c r="H447">
        <v>121.376862035</v>
      </c>
      <c r="I447" t="s">
        <v>385</v>
      </c>
      <c r="J447">
        <v>138</v>
      </c>
      <c r="K447">
        <v>64.890285940000027</v>
      </c>
      <c r="L447">
        <v>21</v>
      </c>
      <c r="M447" t="s">
        <v>49</v>
      </c>
      <c r="N447">
        <v>57</v>
      </c>
      <c r="O447">
        <v>281</v>
      </c>
      <c r="P447">
        <v>2323</v>
      </c>
      <c r="Q447">
        <v>37</v>
      </c>
      <c r="R447" t="s">
        <v>341</v>
      </c>
      <c r="S447" s="3">
        <v>4</v>
      </c>
      <c r="T447" s="3">
        <f t="shared" si="18"/>
        <v>1</v>
      </c>
      <c r="U447" t="s">
        <v>96</v>
      </c>
      <c r="V447" t="s">
        <v>142</v>
      </c>
      <c r="W447" t="s">
        <v>95</v>
      </c>
      <c r="X447">
        <v>0</v>
      </c>
      <c r="Y447" t="s">
        <v>41</v>
      </c>
      <c r="Z447" t="s">
        <v>92</v>
      </c>
      <c r="AA447" t="s">
        <v>224</v>
      </c>
      <c r="AB447" t="s">
        <v>234</v>
      </c>
      <c r="AC447">
        <v>1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 t="s">
        <v>1445</v>
      </c>
      <c r="AK447" t="s">
        <v>202</v>
      </c>
      <c r="AL447" t="s">
        <v>203</v>
      </c>
      <c r="AM447" t="str">
        <f t="shared" si="19"/>
        <v>2018-2020</v>
      </c>
      <c r="AN447">
        <f t="shared" si="20"/>
        <v>2</v>
      </c>
    </row>
    <row r="448" spans="1:40" x14ac:dyDescent="0.2">
      <c r="A448">
        <v>447</v>
      </c>
      <c r="B448" t="s">
        <v>1446</v>
      </c>
      <c r="C448" t="s">
        <v>1717</v>
      </c>
      <c r="D448" t="s">
        <v>285</v>
      </c>
      <c r="E448" t="s">
        <v>98</v>
      </c>
      <c r="F448" t="s">
        <v>99</v>
      </c>
      <c r="G448">
        <v>79</v>
      </c>
      <c r="H448">
        <v>39.418457500000017</v>
      </c>
      <c r="I448" t="s">
        <v>88</v>
      </c>
      <c r="J448">
        <v>45</v>
      </c>
      <c r="K448">
        <v>21.455472040000011</v>
      </c>
      <c r="L448">
        <v>17</v>
      </c>
      <c r="M448" t="s">
        <v>67</v>
      </c>
      <c r="N448">
        <v>34</v>
      </c>
      <c r="O448">
        <v>111</v>
      </c>
      <c r="P448">
        <v>968</v>
      </c>
      <c r="Q448">
        <v>198</v>
      </c>
      <c r="R448" t="s">
        <v>1448</v>
      </c>
      <c r="S448" s="3" t="s">
        <v>90</v>
      </c>
      <c r="T448" s="3">
        <f t="shared" si="18"/>
        <v>1</v>
      </c>
      <c r="U448" t="s">
        <v>96</v>
      </c>
      <c r="V448" t="s">
        <v>142</v>
      </c>
      <c r="W448" t="s">
        <v>95</v>
      </c>
      <c r="X448">
        <v>0</v>
      </c>
      <c r="Y448" t="s">
        <v>41</v>
      </c>
      <c r="Z448" t="s">
        <v>92</v>
      </c>
      <c r="AA448" t="s">
        <v>360</v>
      </c>
      <c r="AB448" t="s">
        <v>570</v>
      </c>
      <c r="AC448">
        <v>2</v>
      </c>
      <c r="AD448">
        <v>1</v>
      </c>
      <c r="AE448">
        <v>1</v>
      </c>
      <c r="AF448">
        <v>0</v>
      </c>
      <c r="AG448">
        <v>0</v>
      </c>
      <c r="AH448">
        <v>0</v>
      </c>
      <c r="AI448">
        <v>0</v>
      </c>
      <c r="AJ448" t="s">
        <v>1447</v>
      </c>
      <c r="AK448" t="s">
        <v>74</v>
      </c>
      <c r="AL448" t="s">
        <v>75</v>
      </c>
      <c r="AM448" t="str">
        <f t="shared" si="19"/>
        <v>2014-2018</v>
      </c>
      <c r="AN448">
        <f t="shared" si="20"/>
        <v>4</v>
      </c>
    </row>
    <row r="449" spans="1:40" x14ac:dyDescent="0.2">
      <c r="A449">
        <v>448</v>
      </c>
      <c r="B449" t="s">
        <v>1449</v>
      </c>
      <c r="C449" t="s">
        <v>1717</v>
      </c>
      <c r="D449" t="s">
        <v>72</v>
      </c>
      <c r="E449" t="s">
        <v>50</v>
      </c>
      <c r="F449" t="s">
        <v>76</v>
      </c>
      <c r="G449">
        <v>83</v>
      </c>
      <c r="H449">
        <v>30.260617700000001</v>
      </c>
      <c r="I449" t="s">
        <v>73</v>
      </c>
      <c r="J449">
        <v>65</v>
      </c>
      <c r="K449">
        <v>19.09125851300001</v>
      </c>
      <c r="L449">
        <v>25</v>
      </c>
      <c r="M449" t="s">
        <v>49</v>
      </c>
      <c r="N449">
        <v>65</v>
      </c>
      <c r="O449">
        <v>105</v>
      </c>
      <c r="P449">
        <v>1850</v>
      </c>
      <c r="Q449">
        <v>199</v>
      </c>
      <c r="R449" t="s">
        <v>1451</v>
      </c>
      <c r="S449" s="3" t="s">
        <v>117</v>
      </c>
      <c r="T449" s="3">
        <f t="shared" si="18"/>
        <v>1</v>
      </c>
      <c r="U449" t="s">
        <v>96</v>
      </c>
      <c r="V449" t="s">
        <v>142</v>
      </c>
      <c r="W449" t="s">
        <v>95</v>
      </c>
      <c r="X449">
        <v>0</v>
      </c>
      <c r="Y449" t="s">
        <v>41</v>
      </c>
      <c r="Z449" t="s">
        <v>92</v>
      </c>
      <c r="AA449" t="s">
        <v>224</v>
      </c>
      <c r="AB449" t="s">
        <v>225</v>
      </c>
      <c r="AC449">
        <v>1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 t="s">
        <v>1450</v>
      </c>
      <c r="AK449" t="s">
        <v>65</v>
      </c>
      <c r="AL449" t="s">
        <v>66</v>
      </c>
      <c r="AM449" t="str">
        <f t="shared" si="19"/>
        <v>2024-2027</v>
      </c>
      <c r="AN449">
        <f t="shared" si="20"/>
        <v>3</v>
      </c>
    </row>
    <row r="450" spans="1:40" x14ac:dyDescent="0.2">
      <c r="A450">
        <v>449</v>
      </c>
      <c r="B450" t="s">
        <v>1452</v>
      </c>
      <c r="C450" t="s">
        <v>1718</v>
      </c>
      <c r="D450" t="s">
        <v>227</v>
      </c>
      <c r="E450" t="s">
        <v>227</v>
      </c>
      <c r="F450" t="s">
        <v>227</v>
      </c>
      <c r="I450" t="s">
        <v>226</v>
      </c>
      <c r="M450" t="s">
        <v>226</v>
      </c>
      <c r="Q450">
        <v>199</v>
      </c>
      <c r="R450" t="s">
        <v>1451</v>
      </c>
      <c r="S450" s="3" t="s">
        <v>117</v>
      </c>
      <c r="T450" s="3">
        <f t="shared" si="18"/>
        <v>1</v>
      </c>
      <c r="U450" t="s">
        <v>96</v>
      </c>
      <c r="V450" t="s">
        <v>142</v>
      </c>
      <c r="W450" t="s">
        <v>95</v>
      </c>
      <c r="X450">
        <v>0</v>
      </c>
      <c r="Y450" t="s">
        <v>41</v>
      </c>
      <c r="Z450" t="s">
        <v>92</v>
      </c>
      <c r="AA450" t="s">
        <v>224</v>
      </c>
      <c r="AB450" t="s">
        <v>225</v>
      </c>
      <c r="AC450">
        <v>2</v>
      </c>
      <c r="AD450">
        <v>0</v>
      </c>
      <c r="AE450">
        <v>0</v>
      </c>
      <c r="AF450">
        <v>1</v>
      </c>
      <c r="AG450">
        <v>0</v>
      </c>
      <c r="AH450">
        <v>1</v>
      </c>
      <c r="AI450">
        <v>0</v>
      </c>
      <c r="AJ450" s="4" t="s">
        <v>226</v>
      </c>
      <c r="AK450" t="s">
        <v>1453</v>
      </c>
      <c r="AL450" t="s">
        <v>1454</v>
      </c>
      <c r="AM450" t="str">
        <f t="shared" si="19"/>
        <v>2018-2024</v>
      </c>
      <c r="AN450">
        <f t="shared" si="20"/>
        <v>6</v>
      </c>
    </row>
    <row r="451" spans="1:40" x14ac:dyDescent="0.2">
      <c r="A451">
        <v>450</v>
      </c>
      <c r="B451" t="s">
        <v>1455</v>
      </c>
      <c r="C451" t="s">
        <v>1718</v>
      </c>
      <c r="D451" t="s">
        <v>248</v>
      </c>
      <c r="E451" t="s">
        <v>98</v>
      </c>
      <c r="F451" t="s">
        <v>99</v>
      </c>
      <c r="G451">
        <v>38</v>
      </c>
      <c r="H451">
        <v>15.95117269</v>
      </c>
      <c r="I451" t="s">
        <v>88</v>
      </c>
      <c r="J451">
        <v>26</v>
      </c>
      <c r="K451">
        <v>12.62635438</v>
      </c>
      <c r="L451">
        <v>5</v>
      </c>
      <c r="M451" t="s">
        <v>119</v>
      </c>
      <c r="N451">
        <v>2</v>
      </c>
      <c r="O451">
        <v>68</v>
      </c>
      <c r="P451">
        <v>91</v>
      </c>
      <c r="Q451">
        <v>200</v>
      </c>
      <c r="R451" t="s">
        <v>1457</v>
      </c>
      <c r="S451" s="3" t="s">
        <v>90</v>
      </c>
      <c r="T451" s="3">
        <f t="shared" ref="T451:T514" si="21">IF(OR(S451="Sem IGC", ISBLANK(S451)), 0, 1)</f>
        <v>1</v>
      </c>
      <c r="U451" t="s">
        <v>96</v>
      </c>
      <c r="V451" t="s">
        <v>142</v>
      </c>
      <c r="W451" t="s">
        <v>95</v>
      </c>
      <c r="X451">
        <v>0</v>
      </c>
      <c r="Y451" t="s">
        <v>41</v>
      </c>
      <c r="Z451" t="s">
        <v>92</v>
      </c>
      <c r="AA451" t="s">
        <v>63</v>
      </c>
      <c r="AB451" t="s">
        <v>587</v>
      </c>
      <c r="AC451">
        <v>2</v>
      </c>
      <c r="AD451">
        <v>1</v>
      </c>
      <c r="AE451">
        <v>1</v>
      </c>
      <c r="AF451">
        <v>0</v>
      </c>
      <c r="AG451">
        <v>0</v>
      </c>
      <c r="AH451">
        <v>0</v>
      </c>
      <c r="AI451">
        <v>0</v>
      </c>
      <c r="AJ451" t="s">
        <v>1456</v>
      </c>
      <c r="AK451" t="s">
        <v>74</v>
      </c>
      <c r="AL451" t="s">
        <v>75</v>
      </c>
      <c r="AM451" t="str">
        <f t="shared" ref="AM451:AM514" si="22">LEFT(AL451,4) &amp; "-" &amp; RIGHT(AL451,4)</f>
        <v>2014-2018</v>
      </c>
      <c r="AN451">
        <f t="shared" ref="AN451:AN514" si="23">VALUE(RIGHT(AL451,4)) - VALUE(LEFT(AL451,4))</f>
        <v>4</v>
      </c>
    </row>
    <row r="452" spans="1:40" x14ac:dyDescent="0.2">
      <c r="A452">
        <v>451</v>
      </c>
      <c r="B452" t="s">
        <v>1458</v>
      </c>
      <c r="C452" t="s">
        <v>1717</v>
      </c>
      <c r="D452" t="s">
        <v>72</v>
      </c>
      <c r="E452" t="s">
        <v>68</v>
      </c>
      <c r="F452" t="s">
        <v>408</v>
      </c>
      <c r="G452">
        <v>153</v>
      </c>
      <c r="H452">
        <v>51.663108787000013</v>
      </c>
      <c r="I452" t="s">
        <v>407</v>
      </c>
      <c r="J452">
        <v>116</v>
      </c>
      <c r="K452">
        <v>58.032650810000007</v>
      </c>
      <c r="L452">
        <v>17</v>
      </c>
      <c r="M452" t="s">
        <v>67</v>
      </c>
      <c r="N452">
        <v>33</v>
      </c>
      <c r="O452">
        <v>219</v>
      </c>
      <c r="P452">
        <v>1210</v>
      </c>
      <c r="Q452">
        <v>200</v>
      </c>
      <c r="R452" t="s">
        <v>1457</v>
      </c>
      <c r="S452" s="3" t="s">
        <v>90</v>
      </c>
      <c r="T452" s="3">
        <f t="shared" si="21"/>
        <v>1</v>
      </c>
      <c r="U452" t="s">
        <v>96</v>
      </c>
      <c r="V452" t="s">
        <v>142</v>
      </c>
      <c r="W452" t="s">
        <v>95</v>
      </c>
      <c r="X452">
        <v>0</v>
      </c>
      <c r="Y452" t="s">
        <v>41</v>
      </c>
      <c r="Z452" t="s">
        <v>92</v>
      </c>
      <c r="AA452" t="s">
        <v>63</v>
      </c>
      <c r="AB452" t="s">
        <v>587</v>
      </c>
      <c r="AC452">
        <v>2</v>
      </c>
      <c r="AD452">
        <v>0</v>
      </c>
      <c r="AE452">
        <v>0</v>
      </c>
      <c r="AF452">
        <v>1</v>
      </c>
      <c r="AG452">
        <v>1</v>
      </c>
      <c r="AH452">
        <v>0</v>
      </c>
      <c r="AI452">
        <v>0</v>
      </c>
      <c r="AJ452" t="s">
        <v>1459</v>
      </c>
      <c r="AK452" t="s">
        <v>193</v>
      </c>
      <c r="AL452" t="s">
        <v>194</v>
      </c>
      <c r="AM452" t="str">
        <f t="shared" si="22"/>
        <v>2018-2021</v>
      </c>
      <c r="AN452">
        <f t="shared" si="23"/>
        <v>3</v>
      </c>
    </row>
    <row r="453" spans="1:40" x14ac:dyDescent="0.2">
      <c r="A453">
        <v>452</v>
      </c>
      <c r="B453" t="s">
        <v>1460</v>
      </c>
      <c r="C453" t="s">
        <v>1718</v>
      </c>
      <c r="D453" t="s">
        <v>72</v>
      </c>
      <c r="E453" t="s">
        <v>68</v>
      </c>
      <c r="F453" t="s">
        <v>687</v>
      </c>
      <c r="G453">
        <v>14</v>
      </c>
      <c r="H453">
        <v>8.0341095800000009</v>
      </c>
      <c r="I453" t="s">
        <v>683</v>
      </c>
      <c r="J453">
        <v>8</v>
      </c>
      <c r="K453">
        <v>1.4843085899999999</v>
      </c>
      <c r="L453">
        <v>4</v>
      </c>
      <c r="M453" t="s">
        <v>97</v>
      </c>
      <c r="N453">
        <v>3</v>
      </c>
      <c r="O453">
        <v>16</v>
      </c>
      <c r="P453">
        <v>75</v>
      </c>
      <c r="Q453">
        <v>201</v>
      </c>
      <c r="R453" t="s">
        <v>1462</v>
      </c>
      <c r="S453" s="3" t="s">
        <v>90</v>
      </c>
      <c r="T453" s="3">
        <f t="shared" si="21"/>
        <v>1</v>
      </c>
      <c r="U453" t="s">
        <v>96</v>
      </c>
      <c r="V453" t="s">
        <v>142</v>
      </c>
      <c r="W453" t="s">
        <v>95</v>
      </c>
      <c r="X453">
        <v>0</v>
      </c>
      <c r="Y453" t="s">
        <v>41</v>
      </c>
      <c r="Z453" t="s">
        <v>92</v>
      </c>
      <c r="AA453" t="s">
        <v>63</v>
      </c>
      <c r="AB453" t="s">
        <v>64</v>
      </c>
      <c r="AC453">
        <v>5</v>
      </c>
      <c r="AD453">
        <v>0</v>
      </c>
      <c r="AE453">
        <v>1</v>
      </c>
      <c r="AF453">
        <v>1</v>
      </c>
      <c r="AG453">
        <v>1</v>
      </c>
      <c r="AH453">
        <v>1</v>
      </c>
      <c r="AI453">
        <v>1</v>
      </c>
      <c r="AJ453" t="s">
        <v>1461</v>
      </c>
      <c r="AK453" t="s">
        <v>289</v>
      </c>
      <c r="AL453" t="s">
        <v>290</v>
      </c>
      <c r="AM453" t="str">
        <f t="shared" si="22"/>
        <v>2016-2027</v>
      </c>
      <c r="AN453">
        <f t="shared" si="23"/>
        <v>11</v>
      </c>
    </row>
    <row r="454" spans="1:40" x14ac:dyDescent="0.2">
      <c r="A454">
        <v>453</v>
      </c>
      <c r="B454" t="s">
        <v>1463</v>
      </c>
      <c r="C454" t="s">
        <v>1717</v>
      </c>
      <c r="D454" t="s">
        <v>123</v>
      </c>
      <c r="E454" t="s">
        <v>68</v>
      </c>
      <c r="F454" t="s">
        <v>1466</v>
      </c>
      <c r="G454">
        <v>1</v>
      </c>
      <c r="H454">
        <v>0.56903550000000003</v>
      </c>
      <c r="I454" t="s">
        <v>1465</v>
      </c>
      <c r="J454">
        <v>1</v>
      </c>
      <c r="K454">
        <v>0.51184240000000003</v>
      </c>
      <c r="L454">
        <v>0</v>
      </c>
      <c r="M454" t="s">
        <v>137</v>
      </c>
      <c r="N454">
        <v>0</v>
      </c>
      <c r="O454">
        <v>1</v>
      </c>
      <c r="P454">
        <v>0</v>
      </c>
      <c r="Q454">
        <v>201</v>
      </c>
      <c r="R454" t="s">
        <v>1462</v>
      </c>
      <c r="S454" s="3" t="s">
        <v>90</v>
      </c>
      <c r="T454" s="3">
        <f t="shared" si="21"/>
        <v>1</v>
      </c>
      <c r="U454" t="s">
        <v>96</v>
      </c>
      <c r="V454" t="s">
        <v>142</v>
      </c>
      <c r="W454" t="s">
        <v>95</v>
      </c>
      <c r="X454">
        <v>0</v>
      </c>
      <c r="Y454" t="s">
        <v>41</v>
      </c>
      <c r="Z454" t="s">
        <v>92</v>
      </c>
      <c r="AA454" t="s">
        <v>63</v>
      </c>
      <c r="AB454" t="s">
        <v>64</v>
      </c>
      <c r="AC454">
        <v>2</v>
      </c>
      <c r="AD454">
        <v>1</v>
      </c>
      <c r="AE454">
        <v>1</v>
      </c>
      <c r="AF454">
        <v>0</v>
      </c>
      <c r="AG454">
        <v>0</v>
      </c>
      <c r="AH454">
        <v>0</v>
      </c>
      <c r="AI454">
        <v>0</v>
      </c>
      <c r="AJ454" t="s">
        <v>1464</v>
      </c>
      <c r="AK454" t="s">
        <v>82</v>
      </c>
      <c r="AL454" t="s">
        <v>83</v>
      </c>
      <c r="AM454" t="str">
        <f t="shared" si="22"/>
        <v>2014-2016</v>
      </c>
      <c r="AN454">
        <f t="shared" si="23"/>
        <v>2</v>
      </c>
    </row>
    <row r="455" spans="1:40" x14ac:dyDescent="0.2">
      <c r="A455">
        <v>454</v>
      </c>
      <c r="B455" t="s">
        <v>1467</v>
      </c>
      <c r="C455" t="s">
        <v>1718</v>
      </c>
      <c r="D455" t="s">
        <v>114</v>
      </c>
      <c r="E455" t="s">
        <v>50</v>
      </c>
      <c r="F455" t="s">
        <v>120</v>
      </c>
      <c r="G455">
        <v>337</v>
      </c>
      <c r="H455">
        <v>191.05419433</v>
      </c>
      <c r="I455" t="s">
        <v>115</v>
      </c>
      <c r="J455">
        <v>234</v>
      </c>
      <c r="K455">
        <v>56.843709287000003</v>
      </c>
      <c r="L455">
        <v>63</v>
      </c>
      <c r="M455" t="s">
        <v>49</v>
      </c>
      <c r="N455">
        <v>241</v>
      </c>
      <c r="O455">
        <v>396</v>
      </c>
      <c r="P455">
        <v>13178</v>
      </c>
      <c r="Q455">
        <v>202</v>
      </c>
      <c r="R455" t="s">
        <v>1469</v>
      </c>
      <c r="S455" s="3" t="s">
        <v>117</v>
      </c>
      <c r="T455" s="3">
        <f t="shared" si="21"/>
        <v>1</v>
      </c>
      <c r="U455" t="s">
        <v>96</v>
      </c>
      <c r="V455" t="s">
        <v>142</v>
      </c>
      <c r="W455" t="s">
        <v>95</v>
      </c>
      <c r="X455">
        <v>0</v>
      </c>
      <c r="Y455" t="s">
        <v>41</v>
      </c>
      <c r="Z455" t="s">
        <v>92</v>
      </c>
      <c r="AA455" t="s">
        <v>43</v>
      </c>
      <c r="AB455" t="s">
        <v>44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 t="s">
        <v>1468</v>
      </c>
      <c r="AK455" t="s">
        <v>125</v>
      </c>
      <c r="AL455" t="s">
        <v>126</v>
      </c>
      <c r="AM455" t="str">
        <f t="shared" si="22"/>
        <v>2022-2024</v>
      </c>
      <c r="AN455">
        <f t="shared" si="23"/>
        <v>2</v>
      </c>
    </row>
    <row r="456" spans="1:40" x14ac:dyDescent="0.2">
      <c r="A456">
        <v>455</v>
      </c>
      <c r="B456" t="s">
        <v>1470</v>
      </c>
      <c r="C456" t="s">
        <v>1717</v>
      </c>
      <c r="D456" t="s">
        <v>227</v>
      </c>
      <c r="E456" t="s">
        <v>227</v>
      </c>
      <c r="F456" t="s">
        <v>227</v>
      </c>
      <c r="I456" t="s">
        <v>226</v>
      </c>
      <c r="M456" t="s">
        <v>226</v>
      </c>
      <c r="Q456">
        <v>202</v>
      </c>
      <c r="R456" t="s">
        <v>1469</v>
      </c>
      <c r="S456" s="3" t="s">
        <v>117</v>
      </c>
      <c r="T456" s="3">
        <f t="shared" si="21"/>
        <v>1</v>
      </c>
      <c r="U456" t="s">
        <v>96</v>
      </c>
      <c r="V456" t="s">
        <v>142</v>
      </c>
      <c r="W456" t="s">
        <v>95</v>
      </c>
      <c r="X456">
        <v>0</v>
      </c>
      <c r="Y456" t="s">
        <v>41</v>
      </c>
      <c r="Z456" t="s">
        <v>92</v>
      </c>
      <c r="AA456" t="s">
        <v>43</v>
      </c>
      <c r="AB456" t="s">
        <v>44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 s="4" t="s">
        <v>226</v>
      </c>
      <c r="AK456" t="s">
        <v>65</v>
      </c>
      <c r="AL456" t="s">
        <v>66</v>
      </c>
      <c r="AM456" t="str">
        <f t="shared" si="22"/>
        <v>2024-2027</v>
      </c>
      <c r="AN456">
        <f t="shared" si="23"/>
        <v>3</v>
      </c>
    </row>
    <row r="457" spans="1:40" x14ac:dyDescent="0.2">
      <c r="A457">
        <v>456</v>
      </c>
      <c r="B457" t="s">
        <v>1471</v>
      </c>
      <c r="C457" t="s">
        <v>1718</v>
      </c>
      <c r="D457" t="s">
        <v>1034</v>
      </c>
      <c r="E457" t="s">
        <v>68</v>
      </c>
      <c r="F457" t="s">
        <v>1474</v>
      </c>
      <c r="G457">
        <v>54</v>
      </c>
      <c r="H457">
        <v>32.615760809999998</v>
      </c>
      <c r="I457" t="s">
        <v>1473</v>
      </c>
      <c r="J457">
        <v>46</v>
      </c>
      <c r="K457">
        <v>28.560123910000002</v>
      </c>
      <c r="L457">
        <v>10</v>
      </c>
      <c r="M457" t="s">
        <v>119</v>
      </c>
      <c r="N457">
        <v>13</v>
      </c>
      <c r="O457">
        <v>56</v>
      </c>
      <c r="P457">
        <v>309</v>
      </c>
      <c r="Q457">
        <v>202</v>
      </c>
      <c r="R457" t="s">
        <v>1469</v>
      </c>
      <c r="S457" s="3" t="s">
        <v>117</v>
      </c>
      <c r="T457" s="3">
        <f t="shared" si="21"/>
        <v>1</v>
      </c>
      <c r="U457" t="s">
        <v>96</v>
      </c>
      <c r="V457" t="s">
        <v>142</v>
      </c>
      <c r="W457" t="s">
        <v>95</v>
      </c>
      <c r="X457">
        <v>0</v>
      </c>
      <c r="Y457" t="s">
        <v>41</v>
      </c>
      <c r="Z457" t="s">
        <v>92</v>
      </c>
      <c r="AA457" t="s">
        <v>43</v>
      </c>
      <c r="AB457" t="s">
        <v>44</v>
      </c>
      <c r="AC457">
        <v>1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 t="s">
        <v>1472</v>
      </c>
      <c r="AK457" t="s">
        <v>93</v>
      </c>
      <c r="AL457" t="s">
        <v>94</v>
      </c>
      <c r="AM457" t="str">
        <f t="shared" si="22"/>
        <v>2020-2021</v>
      </c>
      <c r="AN457">
        <f t="shared" si="23"/>
        <v>1</v>
      </c>
    </row>
    <row r="458" spans="1:40" x14ac:dyDescent="0.2">
      <c r="A458">
        <v>457</v>
      </c>
      <c r="B458" t="s">
        <v>1475</v>
      </c>
      <c r="C458" t="s">
        <v>1717</v>
      </c>
      <c r="D458" t="s">
        <v>186</v>
      </c>
      <c r="E458" t="s">
        <v>98</v>
      </c>
      <c r="F458" t="s">
        <v>99</v>
      </c>
      <c r="G458">
        <v>98</v>
      </c>
      <c r="H458">
        <v>32.887759541999998</v>
      </c>
      <c r="I458" t="s">
        <v>88</v>
      </c>
      <c r="J458">
        <v>97</v>
      </c>
      <c r="K458">
        <v>53.874013810000001</v>
      </c>
      <c r="L458">
        <v>10</v>
      </c>
      <c r="M458" t="s">
        <v>119</v>
      </c>
      <c r="N458">
        <v>11</v>
      </c>
      <c r="O458">
        <v>124</v>
      </c>
      <c r="P458">
        <v>570</v>
      </c>
      <c r="Q458">
        <v>202</v>
      </c>
      <c r="R458" t="s">
        <v>1469</v>
      </c>
      <c r="S458" s="3" t="s">
        <v>117</v>
      </c>
      <c r="T458" s="3">
        <f t="shared" si="21"/>
        <v>1</v>
      </c>
      <c r="U458" t="s">
        <v>96</v>
      </c>
      <c r="V458" t="s">
        <v>142</v>
      </c>
      <c r="W458" t="s">
        <v>95</v>
      </c>
      <c r="X458">
        <v>0</v>
      </c>
      <c r="Y458" t="s">
        <v>41</v>
      </c>
      <c r="Z458" t="s">
        <v>92</v>
      </c>
      <c r="AA458" t="s">
        <v>43</v>
      </c>
      <c r="AB458" t="s">
        <v>44</v>
      </c>
      <c r="AC458">
        <v>2</v>
      </c>
      <c r="AD458">
        <v>0</v>
      </c>
      <c r="AE458">
        <v>1</v>
      </c>
      <c r="AF458">
        <v>1</v>
      </c>
      <c r="AG458">
        <v>0</v>
      </c>
      <c r="AH458">
        <v>0</v>
      </c>
      <c r="AI458">
        <v>0</v>
      </c>
      <c r="AJ458" t="s">
        <v>1476</v>
      </c>
      <c r="AK458" t="s">
        <v>156</v>
      </c>
      <c r="AL458" t="s">
        <v>157</v>
      </c>
      <c r="AM458" t="str">
        <f t="shared" si="22"/>
        <v>2016-2020</v>
      </c>
      <c r="AN458">
        <f t="shared" si="23"/>
        <v>4</v>
      </c>
    </row>
    <row r="459" spans="1:40" x14ac:dyDescent="0.2">
      <c r="A459">
        <v>458</v>
      </c>
      <c r="B459" t="s">
        <v>1477</v>
      </c>
      <c r="C459" t="s">
        <v>1718</v>
      </c>
      <c r="D459" t="s">
        <v>72</v>
      </c>
      <c r="E459" t="s">
        <v>50</v>
      </c>
      <c r="F459" t="s">
        <v>76</v>
      </c>
      <c r="G459">
        <v>170</v>
      </c>
      <c r="H459">
        <v>75.819250014999966</v>
      </c>
      <c r="I459" t="s">
        <v>73</v>
      </c>
      <c r="J459">
        <v>151</v>
      </c>
      <c r="K459">
        <v>52.042823455000011</v>
      </c>
      <c r="L459">
        <v>43</v>
      </c>
      <c r="M459" t="s">
        <v>49</v>
      </c>
      <c r="N459">
        <v>118</v>
      </c>
      <c r="O459">
        <v>201</v>
      </c>
      <c r="P459">
        <v>6056</v>
      </c>
      <c r="Q459">
        <v>202</v>
      </c>
      <c r="R459" t="s">
        <v>1469</v>
      </c>
      <c r="S459" s="3" t="s">
        <v>117</v>
      </c>
      <c r="T459" s="3">
        <f t="shared" si="21"/>
        <v>1</v>
      </c>
      <c r="U459" t="s">
        <v>96</v>
      </c>
      <c r="V459" t="s">
        <v>142</v>
      </c>
      <c r="W459" t="s">
        <v>95</v>
      </c>
      <c r="X459">
        <v>0</v>
      </c>
      <c r="Y459" t="s">
        <v>41</v>
      </c>
      <c r="Z459" t="s">
        <v>92</v>
      </c>
      <c r="AA459" t="s">
        <v>43</v>
      </c>
      <c r="AB459" t="s">
        <v>44</v>
      </c>
      <c r="AC459">
        <v>2</v>
      </c>
      <c r="AD459">
        <v>1</v>
      </c>
      <c r="AE459">
        <v>1</v>
      </c>
      <c r="AF459">
        <v>0</v>
      </c>
      <c r="AG459">
        <v>0</v>
      </c>
      <c r="AH459">
        <v>0</v>
      </c>
      <c r="AI459">
        <v>0</v>
      </c>
      <c r="AJ459" t="s">
        <v>1478</v>
      </c>
      <c r="AK459" t="s">
        <v>82</v>
      </c>
      <c r="AL459" t="s">
        <v>83</v>
      </c>
      <c r="AM459" t="str">
        <f t="shared" si="22"/>
        <v>2014-2016</v>
      </c>
      <c r="AN459">
        <f t="shared" si="23"/>
        <v>2</v>
      </c>
    </row>
    <row r="460" spans="1:40" x14ac:dyDescent="0.2">
      <c r="A460">
        <v>459</v>
      </c>
      <c r="B460" t="s">
        <v>1479</v>
      </c>
      <c r="C460" t="s">
        <v>1718</v>
      </c>
      <c r="D460" t="s">
        <v>60</v>
      </c>
      <c r="E460" t="s">
        <v>150</v>
      </c>
      <c r="F460" t="s">
        <v>151</v>
      </c>
      <c r="G460">
        <v>85</v>
      </c>
      <c r="H460">
        <v>28.317372405000011</v>
      </c>
      <c r="I460" t="s">
        <v>140</v>
      </c>
      <c r="J460">
        <v>33</v>
      </c>
      <c r="K460">
        <v>6.5479426549999991</v>
      </c>
      <c r="L460">
        <v>21</v>
      </c>
      <c r="M460" t="s">
        <v>49</v>
      </c>
      <c r="N460">
        <v>50</v>
      </c>
      <c r="O460">
        <v>129</v>
      </c>
      <c r="P460">
        <v>1771</v>
      </c>
      <c r="Q460">
        <v>203</v>
      </c>
      <c r="R460" t="s">
        <v>1481</v>
      </c>
      <c r="S460" s="3" t="s">
        <v>90</v>
      </c>
      <c r="T460" s="3">
        <f t="shared" si="21"/>
        <v>1</v>
      </c>
      <c r="U460" t="s">
        <v>96</v>
      </c>
      <c r="V460" t="s">
        <v>142</v>
      </c>
      <c r="W460" t="s">
        <v>95</v>
      </c>
      <c r="X460">
        <v>0</v>
      </c>
      <c r="Y460" t="s">
        <v>41</v>
      </c>
      <c r="Z460" t="s">
        <v>92</v>
      </c>
      <c r="AA460" t="s">
        <v>224</v>
      </c>
      <c r="AB460" t="s">
        <v>234</v>
      </c>
      <c r="AC460">
        <v>2</v>
      </c>
      <c r="AD460">
        <v>1</v>
      </c>
      <c r="AE460">
        <v>1</v>
      </c>
      <c r="AF460">
        <v>0</v>
      </c>
      <c r="AG460">
        <v>0</v>
      </c>
      <c r="AH460">
        <v>0</v>
      </c>
      <c r="AI460">
        <v>0</v>
      </c>
      <c r="AJ460" t="s">
        <v>1480</v>
      </c>
      <c r="AK460" t="s">
        <v>82</v>
      </c>
      <c r="AL460" t="s">
        <v>83</v>
      </c>
      <c r="AM460" t="str">
        <f t="shared" si="22"/>
        <v>2014-2016</v>
      </c>
      <c r="AN460">
        <f t="shared" si="23"/>
        <v>2</v>
      </c>
    </row>
    <row r="461" spans="1:40" x14ac:dyDescent="0.2">
      <c r="A461">
        <v>460</v>
      </c>
      <c r="B461" t="s">
        <v>1482</v>
      </c>
      <c r="C461" t="s">
        <v>1717</v>
      </c>
      <c r="D461" t="s">
        <v>186</v>
      </c>
      <c r="E461" t="s">
        <v>98</v>
      </c>
      <c r="F461" t="s">
        <v>99</v>
      </c>
      <c r="G461">
        <v>55</v>
      </c>
      <c r="H461">
        <v>16.48237615</v>
      </c>
      <c r="I461" t="s">
        <v>88</v>
      </c>
      <c r="J461">
        <v>49</v>
      </c>
      <c r="K461">
        <v>25.890225610000009</v>
      </c>
      <c r="L461">
        <v>9</v>
      </c>
      <c r="M461" t="s">
        <v>119</v>
      </c>
      <c r="N461">
        <v>7</v>
      </c>
      <c r="O461">
        <v>96</v>
      </c>
      <c r="P461">
        <v>226</v>
      </c>
      <c r="Q461">
        <v>204</v>
      </c>
      <c r="R461" t="s">
        <v>1484</v>
      </c>
      <c r="S461" s="3" t="s">
        <v>117</v>
      </c>
      <c r="T461" s="3">
        <f t="shared" si="21"/>
        <v>1</v>
      </c>
      <c r="U461" t="s">
        <v>96</v>
      </c>
      <c r="V461" t="s">
        <v>142</v>
      </c>
      <c r="W461" t="s">
        <v>95</v>
      </c>
      <c r="X461">
        <v>0</v>
      </c>
      <c r="Y461" t="s">
        <v>41</v>
      </c>
      <c r="Z461" t="s">
        <v>92</v>
      </c>
      <c r="AA461" t="s">
        <v>63</v>
      </c>
      <c r="AB461" t="s">
        <v>602</v>
      </c>
      <c r="AC461">
        <v>3</v>
      </c>
      <c r="AD461">
        <v>1</v>
      </c>
      <c r="AE461">
        <v>1</v>
      </c>
      <c r="AF461">
        <v>1</v>
      </c>
      <c r="AG461">
        <v>0</v>
      </c>
      <c r="AH461">
        <v>0</v>
      </c>
      <c r="AI461">
        <v>0</v>
      </c>
      <c r="AJ461" t="s">
        <v>1483</v>
      </c>
      <c r="AK461" t="s">
        <v>109</v>
      </c>
      <c r="AL461" t="s">
        <v>110</v>
      </c>
      <c r="AM461" t="str">
        <f t="shared" si="22"/>
        <v>2014-2020</v>
      </c>
      <c r="AN461">
        <f t="shared" si="23"/>
        <v>6</v>
      </c>
    </row>
    <row r="462" spans="1:40" x14ac:dyDescent="0.2">
      <c r="A462">
        <v>461</v>
      </c>
      <c r="B462" t="s">
        <v>1485</v>
      </c>
      <c r="C462" t="s">
        <v>1717</v>
      </c>
      <c r="D462" t="s">
        <v>186</v>
      </c>
      <c r="E462" t="s">
        <v>98</v>
      </c>
      <c r="F462" t="s">
        <v>99</v>
      </c>
      <c r="G462">
        <v>20</v>
      </c>
      <c r="H462">
        <v>4.0312587300000002</v>
      </c>
      <c r="I462" t="s">
        <v>88</v>
      </c>
      <c r="J462">
        <v>20</v>
      </c>
      <c r="K462">
        <v>10.282500389999999</v>
      </c>
      <c r="L462">
        <v>5</v>
      </c>
      <c r="M462" t="s">
        <v>119</v>
      </c>
      <c r="N462">
        <v>2</v>
      </c>
      <c r="O462">
        <v>33</v>
      </c>
      <c r="P462">
        <v>73</v>
      </c>
      <c r="Q462">
        <v>204</v>
      </c>
      <c r="R462" t="s">
        <v>1484</v>
      </c>
      <c r="S462" s="3" t="s">
        <v>117</v>
      </c>
      <c r="T462" s="3">
        <f t="shared" si="21"/>
        <v>1</v>
      </c>
      <c r="U462" t="s">
        <v>96</v>
      </c>
      <c r="V462" t="s">
        <v>142</v>
      </c>
      <c r="W462" t="s">
        <v>95</v>
      </c>
      <c r="X462">
        <v>0</v>
      </c>
      <c r="Y462" t="s">
        <v>41</v>
      </c>
      <c r="Z462" t="s">
        <v>92</v>
      </c>
      <c r="AA462" t="s">
        <v>63</v>
      </c>
      <c r="AB462" t="s">
        <v>602</v>
      </c>
      <c r="AC462">
        <v>3</v>
      </c>
      <c r="AD462">
        <v>0</v>
      </c>
      <c r="AE462">
        <v>0</v>
      </c>
      <c r="AF462">
        <v>1</v>
      </c>
      <c r="AG462">
        <v>1</v>
      </c>
      <c r="AH462">
        <v>1</v>
      </c>
      <c r="AI462">
        <v>0</v>
      </c>
      <c r="AJ462" t="s">
        <v>1486</v>
      </c>
      <c r="AK462" t="s">
        <v>327</v>
      </c>
      <c r="AL462" t="s">
        <v>328</v>
      </c>
      <c r="AM462" t="str">
        <f t="shared" si="22"/>
        <v>2018-2024</v>
      </c>
      <c r="AN462">
        <f t="shared" si="23"/>
        <v>6</v>
      </c>
    </row>
    <row r="463" spans="1:40" x14ac:dyDescent="0.2">
      <c r="A463">
        <v>462</v>
      </c>
      <c r="B463" t="s">
        <v>1487</v>
      </c>
      <c r="C463" t="s">
        <v>1718</v>
      </c>
      <c r="D463" t="s">
        <v>186</v>
      </c>
      <c r="E463" t="s">
        <v>98</v>
      </c>
      <c r="F463" t="s">
        <v>99</v>
      </c>
      <c r="G463">
        <v>117</v>
      </c>
      <c r="H463">
        <v>41.324515510000019</v>
      </c>
      <c r="I463" t="s">
        <v>88</v>
      </c>
      <c r="J463">
        <v>141</v>
      </c>
      <c r="K463">
        <v>82.022484919999997</v>
      </c>
      <c r="L463">
        <v>6</v>
      </c>
      <c r="M463" t="s">
        <v>119</v>
      </c>
      <c r="N463">
        <v>3</v>
      </c>
      <c r="O463">
        <v>178</v>
      </c>
      <c r="P463">
        <v>178</v>
      </c>
      <c r="Q463">
        <v>204</v>
      </c>
      <c r="R463" t="s">
        <v>1484</v>
      </c>
      <c r="S463" s="3" t="s">
        <v>117</v>
      </c>
      <c r="T463" s="3">
        <f t="shared" si="21"/>
        <v>1</v>
      </c>
      <c r="U463" t="s">
        <v>96</v>
      </c>
      <c r="V463" t="s">
        <v>142</v>
      </c>
      <c r="W463" t="s">
        <v>95</v>
      </c>
      <c r="X463">
        <v>0</v>
      </c>
      <c r="Y463" t="s">
        <v>41</v>
      </c>
      <c r="Z463" t="s">
        <v>92</v>
      </c>
      <c r="AA463" t="s">
        <v>63</v>
      </c>
      <c r="AB463" t="s">
        <v>602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 t="s">
        <v>1488</v>
      </c>
      <c r="AK463" t="s">
        <v>65</v>
      </c>
      <c r="AL463" t="s">
        <v>66</v>
      </c>
      <c r="AM463" t="str">
        <f t="shared" si="22"/>
        <v>2024-2027</v>
      </c>
      <c r="AN463">
        <f t="shared" si="23"/>
        <v>3</v>
      </c>
    </row>
    <row r="464" spans="1:40" x14ac:dyDescent="0.2">
      <c r="A464">
        <v>463</v>
      </c>
      <c r="B464" t="s">
        <v>1489</v>
      </c>
      <c r="C464" t="s">
        <v>1718</v>
      </c>
      <c r="D464" t="s">
        <v>60</v>
      </c>
      <c r="E464" t="s">
        <v>150</v>
      </c>
      <c r="F464" t="s">
        <v>151</v>
      </c>
      <c r="G464">
        <v>106</v>
      </c>
      <c r="H464">
        <v>34.566661199999999</v>
      </c>
      <c r="I464" t="s">
        <v>140</v>
      </c>
      <c r="J464">
        <v>86</v>
      </c>
      <c r="K464">
        <v>34.446187305999999</v>
      </c>
      <c r="L464">
        <v>30</v>
      </c>
      <c r="M464" t="s">
        <v>49</v>
      </c>
      <c r="N464">
        <v>84</v>
      </c>
      <c r="O464">
        <v>117</v>
      </c>
      <c r="P464">
        <v>3854</v>
      </c>
      <c r="Q464">
        <v>204</v>
      </c>
      <c r="R464" t="s">
        <v>1484</v>
      </c>
      <c r="S464" s="3" t="s">
        <v>117</v>
      </c>
      <c r="T464" s="3">
        <f t="shared" si="21"/>
        <v>1</v>
      </c>
      <c r="U464" t="s">
        <v>96</v>
      </c>
      <c r="V464" t="s">
        <v>142</v>
      </c>
      <c r="W464" t="s">
        <v>95</v>
      </c>
      <c r="X464">
        <v>0</v>
      </c>
      <c r="Y464" t="s">
        <v>41</v>
      </c>
      <c r="Z464" t="s">
        <v>92</v>
      </c>
      <c r="AA464" t="s">
        <v>63</v>
      </c>
      <c r="AB464" t="s">
        <v>602</v>
      </c>
      <c r="AC464">
        <v>2</v>
      </c>
      <c r="AD464">
        <v>0</v>
      </c>
      <c r="AE464">
        <v>0</v>
      </c>
      <c r="AF464">
        <v>0</v>
      </c>
      <c r="AG464">
        <v>1</v>
      </c>
      <c r="AH464">
        <v>1</v>
      </c>
      <c r="AI464">
        <v>0</v>
      </c>
      <c r="AJ464" t="s">
        <v>1490</v>
      </c>
      <c r="AK464" t="s">
        <v>213</v>
      </c>
      <c r="AL464" t="s">
        <v>214</v>
      </c>
      <c r="AM464" t="str">
        <f t="shared" si="22"/>
        <v>2020-2024</v>
      </c>
      <c r="AN464">
        <f t="shared" si="23"/>
        <v>4</v>
      </c>
    </row>
    <row r="465" spans="1:40" x14ac:dyDescent="0.2">
      <c r="A465">
        <v>464</v>
      </c>
      <c r="B465" t="s">
        <v>1491</v>
      </c>
      <c r="C465" t="s">
        <v>1717</v>
      </c>
      <c r="D465" t="s">
        <v>123</v>
      </c>
      <c r="E465" t="s">
        <v>68</v>
      </c>
      <c r="F465" t="s">
        <v>509</v>
      </c>
      <c r="G465">
        <v>174</v>
      </c>
      <c r="H465">
        <v>113.33225329</v>
      </c>
      <c r="I465" t="s">
        <v>507</v>
      </c>
      <c r="J465">
        <v>131</v>
      </c>
      <c r="K465">
        <v>63.483150425999987</v>
      </c>
      <c r="L465">
        <v>28</v>
      </c>
      <c r="M465" t="s">
        <v>49</v>
      </c>
      <c r="N465">
        <v>56</v>
      </c>
      <c r="O465">
        <v>192</v>
      </c>
      <c r="P465">
        <v>3890</v>
      </c>
      <c r="Q465">
        <v>205</v>
      </c>
      <c r="R465" t="s">
        <v>1493</v>
      </c>
      <c r="S465" s="3" t="s">
        <v>117</v>
      </c>
      <c r="T465" s="3">
        <f t="shared" si="21"/>
        <v>1</v>
      </c>
      <c r="U465" t="s">
        <v>96</v>
      </c>
      <c r="V465" t="s">
        <v>142</v>
      </c>
      <c r="W465" t="s">
        <v>95</v>
      </c>
      <c r="X465">
        <v>0</v>
      </c>
      <c r="Y465" t="s">
        <v>41</v>
      </c>
      <c r="Z465" t="s">
        <v>92</v>
      </c>
      <c r="AA465" t="s">
        <v>224</v>
      </c>
      <c r="AB465" t="s">
        <v>234</v>
      </c>
      <c r="AC465">
        <v>1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 t="s">
        <v>1492</v>
      </c>
      <c r="AK465" t="s">
        <v>202</v>
      </c>
      <c r="AL465" t="s">
        <v>203</v>
      </c>
      <c r="AM465" t="str">
        <f t="shared" si="22"/>
        <v>2018-2020</v>
      </c>
      <c r="AN465">
        <f t="shared" si="23"/>
        <v>2</v>
      </c>
    </row>
    <row r="466" spans="1:40" x14ac:dyDescent="0.2">
      <c r="A466">
        <v>465</v>
      </c>
      <c r="B466" t="s">
        <v>1494</v>
      </c>
      <c r="C466" t="s">
        <v>1717</v>
      </c>
      <c r="D466" t="s">
        <v>60</v>
      </c>
      <c r="E466" t="s">
        <v>150</v>
      </c>
      <c r="F466" t="s">
        <v>151</v>
      </c>
      <c r="G466">
        <v>289</v>
      </c>
      <c r="H466">
        <v>118.633568936</v>
      </c>
      <c r="I466" t="s">
        <v>140</v>
      </c>
      <c r="J466">
        <v>210</v>
      </c>
      <c r="K466">
        <v>70.139425968999987</v>
      </c>
      <c r="L466">
        <v>51</v>
      </c>
      <c r="M466" t="s">
        <v>49</v>
      </c>
      <c r="N466">
        <v>203</v>
      </c>
      <c r="O466">
        <v>398</v>
      </c>
      <c r="P466">
        <v>9645</v>
      </c>
      <c r="Q466">
        <v>205</v>
      </c>
      <c r="R466" t="s">
        <v>1493</v>
      </c>
      <c r="S466" s="3" t="s">
        <v>117</v>
      </c>
      <c r="T466" s="3">
        <f t="shared" si="21"/>
        <v>1</v>
      </c>
      <c r="U466" t="s">
        <v>96</v>
      </c>
      <c r="V466" t="s">
        <v>142</v>
      </c>
      <c r="W466" t="s">
        <v>95</v>
      </c>
      <c r="X466">
        <v>0</v>
      </c>
      <c r="Y466" t="s">
        <v>41</v>
      </c>
      <c r="Z466" t="s">
        <v>92</v>
      </c>
      <c r="AA466" t="s">
        <v>224</v>
      </c>
      <c r="AB466" t="s">
        <v>234</v>
      </c>
      <c r="AC466">
        <v>1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 t="s">
        <v>1495</v>
      </c>
      <c r="AK466" t="s">
        <v>93</v>
      </c>
      <c r="AL466" t="s">
        <v>94</v>
      </c>
      <c r="AM466" t="str">
        <f t="shared" si="22"/>
        <v>2020-2021</v>
      </c>
      <c r="AN466">
        <f t="shared" si="23"/>
        <v>1</v>
      </c>
    </row>
    <row r="467" spans="1:40" x14ac:dyDescent="0.2">
      <c r="A467">
        <v>466</v>
      </c>
      <c r="B467" t="s">
        <v>1496</v>
      </c>
      <c r="C467" t="s">
        <v>1718</v>
      </c>
      <c r="D467" t="s">
        <v>72</v>
      </c>
      <c r="E467" t="s">
        <v>68</v>
      </c>
      <c r="F467" t="s">
        <v>373</v>
      </c>
      <c r="G467">
        <v>58</v>
      </c>
      <c r="H467">
        <v>29.255573519999999</v>
      </c>
      <c r="I467" t="s">
        <v>372</v>
      </c>
      <c r="J467">
        <v>49</v>
      </c>
      <c r="K467">
        <v>21.460854300000001</v>
      </c>
      <c r="L467">
        <v>16</v>
      </c>
      <c r="M467" t="s">
        <v>67</v>
      </c>
      <c r="N467">
        <v>22</v>
      </c>
      <c r="O467">
        <v>63</v>
      </c>
      <c r="P467">
        <v>920</v>
      </c>
      <c r="Q467">
        <v>206</v>
      </c>
      <c r="R467" t="s">
        <v>1498</v>
      </c>
      <c r="S467" s="3" t="s">
        <v>90</v>
      </c>
      <c r="T467" s="3">
        <f t="shared" si="21"/>
        <v>1</v>
      </c>
      <c r="U467" t="s">
        <v>96</v>
      </c>
      <c r="V467" t="s">
        <v>142</v>
      </c>
      <c r="W467" t="s">
        <v>95</v>
      </c>
      <c r="X467">
        <v>0</v>
      </c>
      <c r="Y467" t="s">
        <v>41</v>
      </c>
      <c r="Z467" t="s">
        <v>92</v>
      </c>
      <c r="AA467" t="s">
        <v>63</v>
      </c>
      <c r="AB467" t="s">
        <v>64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 t="s">
        <v>1497</v>
      </c>
      <c r="AK467" t="s">
        <v>65</v>
      </c>
      <c r="AL467" t="s">
        <v>66</v>
      </c>
      <c r="AM467" t="str">
        <f t="shared" si="22"/>
        <v>2024-2027</v>
      </c>
      <c r="AN467">
        <f t="shared" si="23"/>
        <v>3</v>
      </c>
    </row>
    <row r="468" spans="1:40" x14ac:dyDescent="0.2">
      <c r="A468">
        <v>467</v>
      </c>
      <c r="B468" t="s">
        <v>1499</v>
      </c>
      <c r="C468" t="s">
        <v>1717</v>
      </c>
      <c r="D468" t="s">
        <v>72</v>
      </c>
      <c r="E468" t="s">
        <v>68</v>
      </c>
      <c r="F468" t="s">
        <v>1502</v>
      </c>
      <c r="G468">
        <v>41</v>
      </c>
      <c r="H468">
        <v>26.047337716000001</v>
      </c>
      <c r="I468" t="s">
        <v>1501</v>
      </c>
      <c r="J468">
        <v>33</v>
      </c>
      <c r="K468">
        <v>10.699053906</v>
      </c>
      <c r="L468">
        <v>10</v>
      </c>
      <c r="M468" t="s">
        <v>119</v>
      </c>
      <c r="N468">
        <v>10</v>
      </c>
      <c r="O468">
        <v>45</v>
      </c>
      <c r="P468">
        <v>394</v>
      </c>
      <c r="Q468">
        <v>206</v>
      </c>
      <c r="R468" t="s">
        <v>1498</v>
      </c>
      <c r="S468" s="3" t="s">
        <v>90</v>
      </c>
      <c r="T468" s="3">
        <f t="shared" si="21"/>
        <v>1</v>
      </c>
      <c r="U468" t="s">
        <v>96</v>
      </c>
      <c r="V468" t="s">
        <v>142</v>
      </c>
      <c r="W468" t="s">
        <v>95</v>
      </c>
      <c r="X468">
        <v>0</v>
      </c>
      <c r="Y468" t="s">
        <v>41</v>
      </c>
      <c r="Z468" t="s">
        <v>92</v>
      </c>
      <c r="AA468" t="s">
        <v>63</v>
      </c>
      <c r="AB468" t="s">
        <v>64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0</v>
      </c>
      <c r="AJ468" t="s">
        <v>1500</v>
      </c>
      <c r="AK468" t="s">
        <v>125</v>
      </c>
      <c r="AL468" t="s">
        <v>126</v>
      </c>
      <c r="AM468" t="str">
        <f t="shared" si="22"/>
        <v>2022-2024</v>
      </c>
      <c r="AN468">
        <f t="shared" si="23"/>
        <v>2</v>
      </c>
    </row>
    <row r="469" spans="1:40" x14ac:dyDescent="0.2">
      <c r="A469">
        <v>468</v>
      </c>
      <c r="B469" t="s">
        <v>1503</v>
      </c>
      <c r="C469" t="s">
        <v>1717</v>
      </c>
      <c r="D469" t="s">
        <v>123</v>
      </c>
      <c r="E469" t="s">
        <v>68</v>
      </c>
      <c r="F469" t="s">
        <v>509</v>
      </c>
      <c r="G469">
        <v>14</v>
      </c>
      <c r="H469">
        <v>7.1597568699999998</v>
      </c>
      <c r="I469" t="s">
        <v>507</v>
      </c>
      <c r="J469">
        <v>8</v>
      </c>
      <c r="K469">
        <v>2.5608655200000001</v>
      </c>
      <c r="L469">
        <v>6</v>
      </c>
      <c r="M469" t="s">
        <v>119</v>
      </c>
      <c r="N469">
        <v>5</v>
      </c>
      <c r="O469">
        <v>21</v>
      </c>
      <c r="P469">
        <v>164</v>
      </c>
      <c r="Q469">
        <v>206</v>
      </c>
      <c r="R469" t="s">
        <v>1498</v>
      </c>
      <c r="S469" s="3" t="s">
        <v>90</v>
      </c>
      <c r="T469" s="3">
        <f t="shared" si="21"/>
        <v>1</v>
      </c>
      <c r="U469" t="s">
        <v>96</v>
      </c>
      <c r="V469" t="s">
        <v>142</v>
      </c>
      <c r="W469" t="s">
        <v>95</v>
      </c>
      <c r="X469">
        <v>0</v>
      </c>
      <c r="Y469" t="s">
        <v>41</v>
      </c>
      <c r="Z469" t="s">
        <v>92</v>
      </c>
      <c r="AA469" t="s">
        <v>63</v>
      </c>
      <c r="AB469" t="s">
        <v>64</v>
      </c>
      <c r="AC469">
        <v>1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 t="s">
        <v>1504</v>
      </c>
      <c r="AK469" t="s">
        <v>93</v>
      </c>
      <c r="AL469" t="s">
        <v>94</v>
      </c>
      <c r="AM469" t="str">
        <f t="shared" si="22"/>
        <v>2020-2021</v>
      </c>
      <c r="AN469">
        <f t="shared" si="23"/>
        <v>1</v>
      </c>
    </row>
    <row r="470" spans="1:40" x14ac:dyDescent="0.2">
      <c r="A470">
        <v>469</v>
      </c>
      <c r="B470" t="s">
        <v>1505</v>
      </c>
      <c r="C470" t="s">
        <v>1718</v>
      </c>
      <c r="D470" t="s">
        <v>706</v>
      </c>
      <c r="E470" t="s">
        <v>50</v>
      </c>
      <c r="F470" t="s">
        <v>715</v>
      </c>
      <c r="G470">
        <v>11</v>
      </c>
      <c r="H470">
        <v>7.8805695300000016</v>
      </c>
      <c r="I470" t="s">
        <v>714</v>
      </c>
      <c r="J470">
        <v>9</v>
      </c>
      <c r="K470">
        <v>6.3244003099999997</v>
      </c>
      <c r="L470">
        <v>6</v>
      </c>
      <c r="M470" t="s">
        <v>119</v>
      </c>
      <c r="N470">
        <v>6</v>
      </c>
      <c r="O470">
        <v>11</v>
      </c>
      <c r="P470">
        <v>392</v>
      </c>
      <c r="Q470">
        <v>207</v>
      </c>
      <c r="R470" t="s">
        <v>1507</v>
      </c>
      <c r="S470" s="3" t="s">
        <v>90</v>
      </c>
      <c r="T470" s="3">
        <f t="shared" si="21"/>
        <v>1</v>
      </c>
      <c r="U470" t="s">
        <v>96</v>
      </c>
      <c r="V470" t="s">
        <v>142</v>
      </c>
      <c r="W470" t="s">
        <v>95</v>
      </c>
      <c r="X470">
        <v>0</v>
      </c>
      <c r="Y470" t="s">
        <v>41</v>
      </c>
      <c r="Z470" t="s">
        <v>92</v>
      </c>
      <c r="AA470" t="s">
        <v>360</v>
      </c>
      <c r="AB470" t="s">
        <v>570</v>
      </c>
      <c r="AC470">
        <v>2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1</v>
      </c>
      <c r="AJ470" t="s">
        <v>1506</v>
      </c>
      <c r="AK470" t="s">
        <v>55</v>
      </c>
      <c r="AL470" t="s">
        <v>56</v>
      </c>
      <c r="AM470" t="str">
        <f t="shared" si="22"/>
        <v>2022-2027</v>
      </c>
      <c r="AN470">
        <f t="shared" si="23"/>
        <v>5</v>
      </c>
    </row>
    <row r="471" spans="1:40" x14ac:dyDescent="0.2">
      <c r="A471">
        <v>470</v>
      </c>
      <c r="B471" t="s">
        <v>1508</v>
      </c>
      <c r="C471" t="s">
        <v>1718</v>
      </c>
      <c r="D471" t="s">
        <v>37</v>
      </c>
      <c r="E471" t="s">
        <v>68</v>
      </c>
      <c r="F471" t="s">
        <v>291</v>
      </c>
      <c r="G471">
        <v>14</v>
      </c>
      <c r="H471">
        <v>4.4818449899999999</v>
      </c>
      <c r="I471" t="s">
        <v>288</v>
      </c>
      <c r="J471">
        <v>9</v>
      </c>
      <c r="K471">
        <v>4.3425194600000001</v>
      </c>
      <c r="L471">
        <v>3</v>
      </c>
      <c r="M471" t="s">
        <v>97</v>
      </c>
      <c r="N471">
        <v>1</v>
      </c>
      <c r="O471">
        <v>18</v>
      </c>
      <c r="P471">
        <v>29</v>
      </c>
      <c r="Q471">
        <v>207</v>
      </c>
      <c r="R471" t="s">
        <v>1507</v>
      </c>
      <c r="S471" s="3" t="s">
        <v>90</v>
      </c>
      <c r="T471" s="3">
        <f t="shared" si="21"/>
        <v>1</v>
      </c>
      <c r="U471" t="s">
        <v>96</v>
      </c>
      <c r="V471" t="s">
        <v>142</v>
      </c>
      <c r="W471" t="s">
        <v>95</v>
      </c>
      <c r="X471">
        <v>0</v>
      </c>
      <c r="Y471" t="s">
        <v>41</v>
      </c>
      <c r="Z471" t="s">
        <v>92</v>
      </c>
      <c r="AA471" t="s">
        <v>360</v>
      </c>
      <c r="AB471" t="s">
        <v>570</v>
      </c>
      <c r="AC471">
        <v>2</v>
      </c>
      <c r="AD471">
        <v>0</v>
      </c>
      <c r="AE471">
        <v>0</v>
      </c>
      <c r="AF471">
        <v>1</v>
      </c>
      <c r="AG471">
        <v>1</v>
      </c>
      <c r="AH471">
        <v>0</v>
      </c>
      <c r="AI471">
        <v>0</v>
      </c>
      <c r="AJ471" t="s">
        <v>1509</v>
      </c>
      <c r="AK471" t="s">
        <v>193</v>
      </c>
      <c r="AL471" t="s">
        <v>194</v>
      </c>
      <c r="AM471" t="str">
        <f t="shared" si="22"/>
        <v>2018-2021</v>
      </c>
      <c r="AN471">
        <f t="shared" si="23"/>
        <v>3</v>
      </c>
    </row>
    <row r="472" spans="1:40" x14ac:dyDescent="0.2">
      <c r="A472">
        <v>471</v>
      </c>
      <c r="B472" t="s">
        <v>1510</v>
      </c>
      <c r="C472" t="s">
        <v>1717</v>
      </c>
      <c r="D472" t="s">
        <v>123</v>
      </c>
      <c r="E472" t="s">
        <v>68</v>
      </c>
      <c r="F472" t="s">
        <v>1513</v>
      </c>
      <c r="G472">
        <v>4</v>
      </c>
      <c r="H472">
        <v>1.93138093</v>
      </c>
      <c r="I472" t="s">
        <v>1512</v>
      </c>
      <c r="J472">
        <v>2</v>
      </c>
      <c r="K472">
        <v>1.6182656</v>
      </c>
      <c r="L472">
        <v>0</v>
      </c>
      <c r="M472" t="s">
        <v>137</v>
      </c>
      <c r="N472">
        <v>0</v>
      </c>
      <c r="O472">
        <v>5</v>
      </c>
      <c r="P472">
        <v>0</v>
      </c>
      <c r="Q472">
        <v>207</v>
      </c>
      <c r="R472" t="s">
        <v>1507</v>
      </c>
      <c r="S472" s="3" t="s">
        <v>90</v>
      </c>
      <c r="T472" s="3">
        <f t="shared" si="21"/>
        <v>1</v>
      </c>
      <c r="U472" t="s">
        <v>96</v>
      </c>
      <c r="V472" t="s">
        <v>142</v>
      </c>
      <c r="W472" t="s">
        <v>95</v>
      </c>
      <c r="X472">
        <v>0</v>
      </c>
      <c r="Y472" t="s">
        <v>41</v>
      </c>
      <c r="Z472" t="s">
        <v>92</v>
      </c>
      <c r="AA472" t="s">
        <v>360</v>
      </c>
      <c r="AB472" t="s">
        <v>570</v>
      </c>
      <c r="AC472">
        <v>1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 t="s">
        <v>1511</v>
      </c>
      <c r="AK472" t="s">
        <v>320</v>
      </c>
      <c r="AL472" t="s">
        <v>321</v>
      </c>
      <c r="AM472" t="str">
        <f t="shared" si="22"/>
        <v>2016-2018</v>
      </c>
      <c r="AN472">
        <f t="shared" si="23"/>
        <v>2</v>
      </c>
    </row>
    <row r="473" spans="1:40" x14ac:dyDescent="0.2">
      <c r="A473">
        <v>472</v>
      </c>
      <c r="B473" t="s">
        <v>1514</v>
      </c>
      <c r="C473" t="s">
        <v>1718</v>
      </c>
      <c r="D473" t="s">
        <v>60</v>
      </c>
      <c r="E473" t="s">
        <v>98</v>
      </c>
      <c r="F473" t="s">
        <v>99</v>
      </c>
      <c r="G473">
        <v>70</v>
      </c>
      <c r="H473">
        <v>34.99635743999999</v>
      </c>
      <c r="I473" t="s">
        <v>88</v>
      </c>
      <c r="J473">
        <v>30</v>
      </c>
      <c r="K473">
        <v>14.15261248</v>
      </c>
      <c r="L473">
        <v>12</v>
      </c>
      <c r="M473" t="s">
        <v>67</v>
      </c>
      <c r="N473">
        <v>14</v>
      </c>
      <c r="O473">
        <v>102</v>
      </c>
      <c r="P473">
        <v>702</v>
      </c>
      <c r="Q473">
        <v>208</v>
      </c>
      <c r="R473" t="s">
        <v>1516</v>
      </c>
      <c r="S473" s="3">
        <v>4</v>
      </c>
      <c r="T473" s="3">
        <f t="shared" si="21"/>
        <v>1</v>
      </c>
      <c r="U473" t="s">
        <v>96</v>
      </c>
      <c r="V473" t="s">
        <v>142</v>
      </c>
      <c r="W473" t="s">
        <v>95</v>
      </c>
      <c r="X473">
        <v>0</v>
      </c>
      <c r="Y473" t="s">
        <v>41</v>
      </c>
      <c r="Z473" t="s">
        <v>92</v>
      </c>
      <c r="AA473" t="s">
        <v>360</v>
      </c>
      <c r="AB473" t="s">
        <v>650</v>
      </c>
      <c r="AC473">
        <v>2</v>
      </c>
      <c r="AD473">
        <v>0</v>
      </c>
      <c r="AE473">
        <v>0</v>
      </c>
      <c r="AF473">
        <v>1</v>
      </c>
      <c r="AG473">
        <v>1</v>
      </c>
      <c r="AH473">
        <v>0</v>
      </c>
      <c r="AI473">
        <v>0</v>
      </c>
      <c r="AJ473" t="s">
        <v>1515</v>
      </c>
      <c r="AK473" t="s">
        <v>193</v>
      </c>
      <c r="AL473" t="s">
        <v>194</v>
      </c>
      <c r="AM473" t="str">
        <f t="shared" si="22"/>
        <v>2018-2021</v>
      </c>
      <c r="AN473">
        <f t="shared" si="23"/>
        <v>3</v>
      </c>
    </row>
    <row r="474" spans="1:40" x14ac:dyDescent="0.2">
      <c r="A474">
        <v>473</v>
      </c>
      <c r="B474" t="s">
        <v>1517</v>
      </c>
      <c r="C474" t="s">
        <v>1717</v>
      </c>
      <c r="D474" t="s">
        <v>394</v>
      </c>
      <c r="E474" t="s">
        <v>98</v>
      </c>
      <c r="F474" t="s">
        <v>99</v>
      </c>
      <c r="G474">
        <v>18</v>
      </c>
      <c r="H474">
        <v>6.9192458299999986</v>
      </c>
      <c r="I474" t="s">
        <v>88</v>
      </c>
      <c r="J474">
        <v>26</v>
      </c>
      <c r="K474">
        <v>15.75609238</v>
      </c>
      <c r="L474">
        <v>1</v>
      </c>
      <c r="M474" t="s">
        <v>137</v>
      </c>
      <c r="N474">
        <v>0</v>
      </c>
      <c r="O474">
        <v>32</v>
      </c>
      <c r="P474">
        <v>6</v>
      </c>
      <c r="Q474">
        <v>208</v>
      </c>
      <c r="R474" t="s">
        <v>1516</v>
      </c>
      <c r="S474" s="3">
        <v>4</v>
      </c>
      <c r="T474" s="3">
        <f t="shared" si="21"/>
        <v>1</v>
      </c>
      <c r="U474" t="s">
        <v>96</v>
      </c>
      <c r="V474" t="s">
        <v>142</v>
      </c>
      <c r="W474" t="s">
        <v>95</v>
      </c>
      <c r="X474">
        <v>0</v>
      </c>
      <c r="Y474" t="s">
        <v>41</v>
      </c>
      <c r="Z474" t="s">
        <v>92</v>
      </c>
      <c r="AA474" t="s">
        <v>360</v>
      </c>
      <c r="AB474" t="s">
        <v>650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</v>
      </c>
      <c r="AJ474" t="s">
        <v>1518</v>
      </c>
      <c r="AK474" t="s">
        <v>65</v>
      </c>
      <c r="AL474" t="s">
        <v>66</v>
      </c>
      <c r="AM474" t="str">
        <f t="shared" si="22"/>
        <v>2024-2027</v>
      </c>
      <c r="AN474">
        <f t="shared" si="23"/>
        <v>3</v>
      </c>
    </row>
    <row r="475" spans="1:40" x14ac:dyDescent="0.2">
      <c r="A475">
        <v>474</v>
      </c>
      <c r="B475" t="s">
        <v>1519</v>
      </c>
      <c r="C475" t="s">
        <v>1717</v>
      </c>
      <c r="D475" t="s">
        <v>186</v>
      </c>
      <c r="E475" t="s">
        <v>98</v>
      </c>
      <c r="F475" t="s">
        <v>99</v>
      </c>
      <c r="G475">
        <v>23</v>
      </c>
      <c r="H475">
        <v>6.7960533499999984</v>
      </c>
      <c r="I475" t="s">
        <v>88</v>
      </c>
      <c r="J475">
        <v>29</v>
      </c>
      <c r="K475">
        <v>14.408366109999999</v>
      </c>
      <c r="L475">
        <v>1</v>
      </c>
      <c r="M475" t="s">
        <v>137</v>
      </c>
      <c r="N475">
        <v>1</v>
      </c>
      <c r="O475">
        <v>33</v>
      </c>
      <c r="P475">
        <v>25</v>
      </c>
      <c r="Q475">
        <v>208</v>
      </c>
      <c r="R475" t="s">
        <v>1516</v>
      </c>
      <c r="S475" s="3">
        <v>4</v>
      </c>
      <c r="T475" s="3">
        <f t="shared" si="21"/>
        <v>1</v>
      </c>
      <c r="U475" t="s">
        <v>96</v>
      </c>
      <c r="V475" t="s">
        <v>142</v>
      </c>
      <c r="W475" t="s">
        <v>95</v>
      </c>
      <c r="X475">
        <v>0</v>
      </c>
      <c r="Y475" t="s">
        <v>41</v>
      </c>
      <c r="Z475" t="s">
        <v>92</v>
      </c>
      <c r="AA475" t="s">
        <v>360</v>
      </c>
      <c r="AB475" t="s">
        <v>650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 t="s">
        <v>1520</v>
      </c>
      <c r="AK475" t="s">
        <v>125</v>
      </c>
      <c r="AL475" t="s">
        <v>126</v>
      </c>
      <c r="AM475" t="str">
        <f t="shared" si="22"/>
        <v>2022-2024</v>
      </c>
      <c r="AN475">
        <f t="shared" si="23"/>
        <v>2</v>
      </c>
    </row>
    <row r="476" spans="1:40" x14ac:dyDescent="0.2">
      <c r="A476">
        <v>475</v>
      </c>
      <c r="B476" t="s">
        <v>1521</v>
      </c>
      <c r="C476" t="s">
        <v>1717</v>
      </c>
      <c r="D476" t="s">
        <v>37</v>
      </c>
      <c r="E476" t="s">
        <v>50</v>
      </c>
      <c r="F476" t="s">
        <v>120</v>
      </c>
      <c r="G476">
        <v>38</v>
      </c>
      <c r="H476">
        <v>7.9107043889999993</v>
      </c>
      <c r="I476" t="s">
        <v>115</v>
      </c>
      <c r="J476">
        <v>19</v>
      </c>
      <c r="K476">
        <v>1.5726784149999999</v>
      </c>
      <c r="L476">
        <v>10</v>
      </c>
      <c r="M476" t="s">
        <v>119</v>
      </c>
      <c r="N476">
        <v>10</v>
      </c>
      <c r="O476">
        <v>65</v>
      </c>
      <c r="P476">
        <v>336</v>
      </c>
      <c r="Q476">
        <v>209</v>
      </c>
      <c r="R476" t="s">
        <v>1523</v>
      </c>
      <c r="S476" s="3" t="s">
        <v>90</v>
      </c>
      <c r="T476" s="3">
        <f t="shared" si="21"/>
        <v>1</v>
      </c>
      <c r="U476" t="s">
        <v>96</v>
      </c>
      <c r="V476" t="s">
        <v>142</v>
      </c>
      <c r="W476" t="s">
        <v>95</v>
      </c>
      <c r="X476">
        <v>0</v>
      </c>
      <c r="Y476" t="s">
        <v>41</v>
      </c>
      <c r="Z476" t="s">
        <v>92</v>
      </c>
      <c r="AA476" t="s">
        <v>43</v>
      </c>
      <c r="AB476" t="s">
        <v>118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 t="s">
        <v>1522</v>
      </c>
      <c r="AK476" t="s">
        <v>65</v>
      </c>
      <c r="AL476" t="s">
        <v>66</v>
      </c>
      <c r="AM476" t="str">
        <f t="shared" si="22"/>
        <v>2024-2027</v>
      </c>
      <c r="AN476">
        <f t="shared" si="23"/>
        <v>3</v>
      </c>
    </row>
    <row r="477" spans="1:40" x14ac:dyDescent="0.2">
      <c r="A477">
        <v>476</v>
      </c>
      <c r="B477" t="s">
        <v>1524</v>
      </c>
      <c r="C477" t="s">
        <v>1718</v>
      </c>
      <c r="D477" t="s">
        <v>60</v>
      </c>
      <c r="E477" t="s">
        <v>150</v>
      </c>
      <c r="F477" t="s">
        <v>151</v>
      </c>
      <c r="G477">
        <v>64</v>
      </c>
      <c r="H477">
        <v>35.146970800000013</v>
      </c>
      <c r="I477" t="s">
        <v>140</v>
      </c>
      <c r="J477">
        <v>29</v>
      </c>
      <c r="K477">
        <v>12.622667529999999</v>
      </c>
      <c r="L477">
        <v>19</v>
      </c>
      <c r="M477" t="s">
        <v>67</v>
      </c>
      <c r="N477">
        <v>30</v>
      </c>
      <c r="O477">
        <v>87</v>
      </c>
      <c r="P477">
        <v>1082</v>
      </c>
      <c r="Q477">
        <v>209</v>
      </c>
      <c r="R477" t="s">
        <v>1523</v>
      </c>
      <c r="S477" s="3" t="s">
        <v>90</v>
      </c>
      <c r="T477" s="3">
        <f t="shared" si="21"/>
        <v>1</v>
      </c>
      <c r="U477" t="s">
        <v>96</v>
      </c>
      <c r="V477" t="s">
        <v>142</v>
      </c>
      <c r="W477" t="s">
        <v>95</v>
      </c>
      <c r="X477">
        <v>0</v>
      </c>
      <c r="Y477" t="s">
        <v>41</v>
      </c>
      <c r="Z477" t="s">
        <v>92</v>
      </c>
      <c r="AA477" t="s">
        <v>43</v>
      </c>
      <c r="AB477" t="s">
        <v>118</v>
      </c>
      <c r="AC477">
        <v>2</v>
      </c>
      <c r="AD477">
        <v>1</v>
      </c>
      <c r="AE477">
        <v>1</v>
      </c>
      <c r="AF477">
        <v>0</v>
      </c>
      <c r="AG477">
        <v>0</v>
      </c>
      <c r="AH477">
        <v>0</v>
      </c>
      <c r="AI477">
        <v>0</v>
      </c>
      <c r="AJ477" t="s">
        <v>1525</v>
      </c>
      <c r="AK477" t="s">
        <v>82</v>
      </c>
      <c r="AL477" t="s">
        <v>83</v>
      </c>
      <c r="AM477" t="str">
        <f t="shared" si="22"/>
        <v>2014-2016</v>
      </c>
      <c r="AN477">
        <f t="shared" si="23"/>
        <v>2</v>
      </c>
    </row>
    <row r="478" spans="1:40" x14ac:dyDescent="0.2">
      <c r="A478">
        <v>477</v>
      </c>
      <c r="B478" t="s">
        <v>1526</v>
      </c>
      <c r="C478" t="s">
        <v>1717</v>
      </c>
      <c r="D478" t="s">
        <v>72</v>
      </c>
      <c r="E478" t="s">
        <v>68</v>
      </c>
      <c r="F478" t="s">
        <v>282</v>
      </c>
      <c r="G478">
        <v>41</v>
      </c>
      <c r="H478">
        <v>29.730793909999999</v>
      </c>
      <c r="I478" t="s">
        <v>281</v>
      </c>
      <c r="J478">
        <v>29</v>
      </c>
      <c r="K478">
        <v>11.912260715</v>
      </c>
      <c r="L478">
        <v>15</v>
      </c>
      <c r="M478" t="s">
        <v>67</v>
      </c>
      <c r="N478">
        <v>20</v>
      </c>
      <c r="O478">
        <v>42</v>
      </c>
      <c r="P478">
        <v>642</v>
      </c>
      <c r="Q478">
        <v>209</v>
      </c>
      <c r="R478" t="s">
        <v>1523</v>
      </c>
      <c r="S478" s="3" t="s">
        <v>90</v>
      </c>
      <c r="T478" s="3">
        <f t="shared" si="21"/>
        <v>1</v>
      </c>
      <c r="U478" t="s">
        <v>96</v>
      </c>
      <c r="V478" t="s">
        <v>142</v>
      </c>
      <c r="W478" t="s">
        <v>95</v>
      </c>
      <c r="X478">
        <v>0</v>
      </c>
      <c r="Y478" t="s">
        <v>41</v>
      </c>
      <c r="Z478" t="s">
        <v>92</v>
      </c>
      <c r="AA478" t="s">
        <v>43</v>
      </c>
      <c r="AB478" t="s">
        <v>118</v>
      </c>
      <c r="AC478">
        <v>2</v>
      </c>
      <c r="AD478">
        <v>0</v>
      </c>
      <c r="AE478">
        <v>0</v>
      </c>
      <c r="AF478">
        <v>0</v>
      </c>
      <c r="AG478">
        <v>1</v>
      </c>
      <c r="AH478">
        <v>1</v>
      </c>
      <c r="AI478">
        <v>0</v>
      </c>
      <c r="AJ478" t="s">
        <v>1527</v>
      </c>
      <c r="AK478" t="s">
        <v>213</v>
      </c>
      <c r="AL478" t="s">
        <v>214</v>
      </c>
      <c r="AM478" t="str">
        <f t="shared" si="22"/>
        <v>2020-2024</v>
      </c>
      <c r="AN478">
        <f t="shared" si="23"/>
        <v>4</v>
      </c>
    </row>
    <row r="479" spans="1:40" x14ac:dyDescent="0.2">
      <c r="A479">
        <v>478</v>
      </c>
      <c r="B479" t="s">
        <v>1528</v>
      </c>
      <c r="C479" t="s">
        <v>1718</v>
      </c>
      <c r="D479" t="s">
        <v>60</v>
      </c>
      <c r="E479" t="s">
        <v>98</v>
      </c>
      <c r="F479" t="s">
        <v>99</v>
      </c>
      <c r="G479">
        <v>43</v>
      </c>
      <c r="H479">
        <v>21.91522694</v>
      </c>
      <c r="I479" t="s">
        <v>88</v>
      </c>
      <c r="J479">
        <v>36</v>
      </c>
      <c r="K479">
        <v>19.157316430000002</v>
      </c>
      <c r="L479">
        <v>7</v>
      </c>
      <c r="M479" t="s">
        <v>119</v>
      </c>
      <c r="N479">
        <v>6</v>
      </c>
      <c r="O479">
        <v>73</v>
      </c>
      <c r="P479">
        <v>237</v>
      </c>
      <c r="Q479">
        <v>209</v>
      </c>
      <c r="R479" t="s">
        <v>1523</v>
      </c>
      <c r="S479" s="3" t="s">
        <v>90</v>
      </c>
      <c r="T479" s="3">
        <f t="shared" si="21"/>
        <v>1</v>
      </c>
      <c r="U479" t="s">
        <v>96</v>
      </c>
      <c r="V479" t="s">
        <v>142</v>
      </c>
      <c r="W479" t="s">
        <v>95</v>
      </c>
      <c r="X479">
        <v>0</v>
      </c>
      <c r="Y479" t="s">
        <v>41</v>
      </c>
      <c r="Z479" t="s">
        <v>92</v>
      </c>
      <c r="AA479" t="s">
        <v>43</v>
      </c>
      <c r="AB479" t="s">
        <v>118</v>
      </c>
      <c r="AC479">
        <v>2</v>
      </c>
      <c r="AD479">
        <v>0</v>
      </c>
      <c r="AE479">
        <v>1</v>
      </c>
      <c r="AF479">
        <v>1</v>
      </c>
      <c r="AG479">
        <v>0</v>
      </c>
      <c r="AH479">
        <v>0</v>
      </c>
      <c r="AI479">
        <v>0</v>
      </c>
      <c r="AJ479" t="s">
        <v>1529</v>
      </c>
      <c r="AK479" t="s">
        <v>156</v>
      </c>
      <c r="AL479" t="s">
        <v>157</v>
      </c>
      <c r="AM479" t="str">
        <f t="shared" si="22"/>
        <v>2016-2020</v>
      </c>
      <c r="AN479">
        <f t="shared" si="23"/>
        <v>4</v>
      </c>
    </row>
    <row r="480" spans="1:40" x14ac:dyDescent="0.2">
      <c r="A480">
        <v>479</v>
      </c>
      <c r="B480" t="s">
        <v>1530</v>
      </c>
      <c r="C480" t="s">
        <v>1718</v>
      </c>
      <c r="D480" t="s">
        <v>72</v>
      </c>
      <c r="E480" t="s">
        <v>68</v>
      </c>
      <c r="F480" t="s">
        <v>263</v>
      </c>
      <c r="G480">
        <v>155</v>
      </c>
      <c r="H480">
        <v>75.631287990000004</v>
      </c>
      <c r="I480" t="s">
        <v>261</v>
      </c>
      <c r="J480">
        <v>120</v>
      </c>
      <c r="K480">
        <v>50.165254634000007</v>
      </c>
      <c r="L480">
        <v>32</v>
      </c>
      <c r="M480" t="s">
        <v>49</v>
      </c>
      <c r="N480">
        <v>94</v>
      </c>
      <c r="O480">
        <v>176</v>
      </c>
      <c r="P480">
        <v>3438</v>
      </c>
      <c r="Q480">
        <v>210</v>
      </c>
      <c r="R480" t="s">
        <v>1532</v>
      </c>
      <c r="S480" s="3">
        <v>4</v>
      </c>
      <c r="T480" s="3">
        <f t="shared" si="21"/>
        <v>1</v>
      </c>
      <c r="U480" t="s">
        <v>96</v>
      </c>
      <c r="V480" t="s">
        <v>142</v>
      </c>
      <c r="W480" t="s">
        <v>95</v>
      </c>
      <c r="X480">
        <v>0</v>
      </c>
      <c r="Y480" t="s">
        <v>41</v>
      </c>
      <c r="Z480" t="s">
        <v>92</v>
      </c>
      <c r="AA480" t="s">
        <v>63</v>
      </c>
      <c r="AB480" t="s">
        <v>317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 t="s">
        <v>1531</v>
      </c>
      <c r="AK480" t="s">
        <v>65</v>
      </c>
      <c r="AL480" t="s">
        <v>66</v>
      </c>
      <c r="AM480" t="str">
        <f t="shared" si="22"/>
        <v>2024-2027</v>
      </c>
      <c r="AN480">
        <f t="shared" si="23"/>
        <v>3</v>
      </c>
    </row>
    <row r="481" spans="1:40" x14ac:dyDescent="0.2">
      <c r="A481">
        <v>480</v>
      </c>
      <c r="B481" t="s">
        <v>1533</v>
      </c>
      <c r="C481" t="s">
        <v>1718</v>
      </c>
      <c r="D481" t="s">
        <v>60</v>
      </c>
      <c r="E481" t="s">
        <v>98</v>
      </c>
      <c r="F481" t="s">
        <v>99</v>
      </c>
      <c r="G481">
        <v>19</v>
      </c>
      <c r="H481">
        <v>7.7788702750000009</v>
      </c>
      <c r="I481" t="s">
        <v>88</v>
      </c>
      <c r="J481">
        <v>22</v>
      </c>
      <c r="K481">
        <v>12.23476365</v>
      </c>
      <c r="L481">
        <v>7</v>
      </c>
      <c r="M481" t="s">
        <v>119</v>
      </c>
      <c r="N481">
        <v>7</v>
      </c>
      <c r="O481">
        <v>45</v>
      </c>
      <c r="P481">
        <v>231</v>
      </c>
      <c r="Q481">
        <v>210</v>
      </c>
      <c r="R481" t="s">
        <v>1532</v>
      </c>
      <c r="S481" s="3">
        <v>4</v>
      </c>
      <c r="T481" s="3">
        <f t="shared" si="21"/>
        <v>1</v>
      </c>
      <c r="U481" t="s">
        <v>96</v>
      </c>
      <c r="V481" t="s">
        <v>142</v>
      </c>
      <c r="W481" t="s">
        <v>95</v>
      </c>
      <c r="X481">
        <v>0</v>
      </c>
      <c r="Y481" t="s">
        <v>41</v>
      </c>
      <c r="Z481" t="s">
        <v>92</v>
      </c>
      <c r="AA481" t="s">
        <v>63</v>
      </c>
      <c r="AB481" t="s">
        <v>317</v>
      </c>
      <c r="AC481">
        <v>2</v>
      </c>
      <c r="AD481">
        <v>1</v>
      </c>
      <c r="AE481">
        <v>1</v>
      </c>
      <c r="AF481">
        <v>0</v>
      </c>
      <c r="AG481">
        <v>0</v>
      </c>
      <c r="AH481">
        <v>0</v>
      </c>
      <c r="AI481">
        <v>0</v>
      </c>
      <c r="AJ481" t="s">
        <v>1534</v>
      </c>
      <c r="AK481" t="s">
        <v>82</v>
      </c>
      <c r="AL481" t="s">
        <v>83</v>
      </c>
      <c r="AM481" t="str">
        <f t="shared" si="22"/>
        <v>2014-2016</v>
      </c>
      <c r="AN481">
        <f t="shared" si="23"/>
        <v>2</v>
      </c>
    </row>
    <row r="482" spans="1:40" x14ac:dyDescent="0.2">
      <c r="A482">
        <v>481</v>
      </c>
      <c r="B482" t="s">
        <v>1535</v>
      </c>
      <c r="C482" t="s">
        <v>1717</v>
      </c>
      <c r="D482" t="s">
        <v>60</v>
      </c>
      <c r="E482" t="s">
        <v>150</v>
      </c>
      <c r="F482" t="s">
        <v>151</v>
      </c>
      <c r="G482">
        <v>3</v>
      </c>
      <c r="H482">
        <v>1.9180270699999999</v>
      </c>
      <c r="I482" t="s">
        <v>140</v>
      </c>
      <c r="J482">
        <v>3</v>
      </c>
      <c r="K482">
        <v>0.95683403</v>
      </c>
      <c r="L482">
        <v>2</v>
      </c>
      <c r="M482" t="s">
        <v>97</v>
      </c>
      <c r="N482">
        <v>1</v>
      </c>
      <c r="O482">
        <v>3</v>
      </c>
      <c r="P482">
        <v>14</v>
      </c>
      <c r="Q482">
        <v>210</v>
      </c>
      <c r="R482" t="s">
        <v>1532</v>
      </c>
      <c r="S482" s="3">
        <v>4</v>
      </c>
      <c r="T482" s="3">
        <f t="shared" si="21"/>
        <v>1</v>
      </c>
      <c r="U482" t="s">
        <v>96</v>
      </c>
      <c r="V482" t="s">
        <v>142</v>
      </c>
      <c r="W482" t="s">
        <v>95</v>
      </c>
      <c r="X482">
        <v>0</v>
      </c>
      <c r="Y482" t="s">
        <v>41</v>
      </c>
      <c r="Z482" t="s">
        <v>92</v>
      </c>
      <c r="AA482" t="s">
        <v>63</v>
      </c>
      <c r="AB482" t="s">
        <v>317</v>
      </c>
      <c r="AC482">
        <v>2</v>
      </c>
      <c r="AD482">
        <v>0</v>
      </c>
      <c r="AE482">
        <v>1</v>
      </c>
      <c r="AF482">
        <v>1</v>
      </c>
      <c r="AG482">
        <v>0</v>
      </c>
      <c r="AH482">
        <v>0</v>
      </c>
      <c r="AI482">
        <v>0</v>
      </c>
      <c r="AJ482" t="s">
        <v>1536</v>
      </c>
      <c r="AK482" t="s">
        <v>156</v>
      </c>
      <c r="AL482" t="s">
        <v>157</v>
      </c>
      <c r="AM482" t="str">
        <f t="shared" si="22"/>
        <v>2016-2020</v>
      </c>
      <c r="AN482">
        <f t="shared" si="23"/>
        <v>4</v>
      </c>
    </row>
    <row r="483" spans="1:40" x14ac:dyDescent="0.2">
      <c r="A483">
        <v>482</v>
      </c>
      <c r="B483" t="s">
        <v>1537</v>
      </c>
      <c r="C483" t="s">
        <v>1717</v>
      </c>
      <c r="D483" t="s">
        <v>72</v>
      </c>
      <c r="E483" t="s">
        <v>68</v>
      </c>
      <c r="F483" t="s">
        <v>298</v>
      </c>
      <c r="G483">
        <v>58</v>
      </c>
      <c r="H483">
        <v>17.151156695000001</v>
      </c>
      <c r="I483" t="s">
        <v>295</v>
      </c>
      <c r="J483">
        <v>40</v>
      </c>
      <c r="K483">
        <v>15.902791629999999</v>
      </c>
      <c r="L483">
        <v>14</v>
      </c>
      <c r="M483" t="s">
        <v>67</v>
      </c>
      <c r="N483">
        <v>18</v>
      </c>
      <c r="O483">
        <v>67</v>
      </c>
      <c r="P483">
        <v>1361</v>
      </c>
      <c r="Q483">
        <v>210</v>
      </c>
      <c r="R483" t="s">
        <v>1532</v>
      </c>
      <c r="S483" s="3">
        <v>4</v>
      </c>
      <c r="T483" s="3">
        <f t="shared" si="21"/>
        <v>1</v>
      </c>
      <c r="U483" t="s">
        <v>96</v>
      </c>
      <c r="V483" t="s">
        <v>142</v>
      </c>
      <c r="W483" t="s">
        <v>95</v>
      </c>
      <c r="X483">
        <v>0</v>
      </c>
      <c r="Y483" t="s">
        <v>41</v>
      </c>
      <c r="Z483" t="s">
        <v>92</v>
      </c>
      <c r="AA483" t="s">
        <v>63</v>
      </c>
      <c r="AB483" t="s">
        <v>317</v>
      </c>
      <c r="AC483">
        <v>1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</v>
      </c>
      <c r="AJ483" t="s">
        <v>1538</v>
      </c>
      <c r="AK483" t="s">
        <v>93</v>
      </c>
      <c r="AL483" t="s">
        <v>94</v>
      </c>
      <c r="AM483" t="str">
        <f t="shared" si="22"/>
        <v>2020-2021</v>
      </c>
      <c r="AN483">
        <f t="shared" si="23"/>
        <v>1</v>
      </c>
    </row>
    <row r="484" spans="1:40" x14ac:dyDescent="0.2">
      <c r="A484">
        <v>483</v>
      </c>
      <c r="B484" t="s">
        <v>1539</v>
      </c>
      <c r="C484" t="s">
        <v>1717</v>
      </c>
      <c r="D484" t="s">
        <v>72</v>
      </c>
      <c r="E484" t="s">
        <v>68</v>
      </c>
      <c r="F484" t="s">
        <v>362</v>
      </c>
      <c r="G484">
        <v>101</v>
      </c>
      <c r="H484">
        <v>54.96315080000003</v>
      </c>
      <c r="I484" t="s">
        <v>357</v>
      </c>
      <c r="J484">
        <v>69</v>
      </c>
      <c r="K484">
        <v>27.79943883</v>
      </c>
      <c r="L484">
        <v>18</v>
      </c>
      <c r="M484" t="s">
        <v>67</v>
      </c>
      <c r="N484">
        <v>28</v>
      </c>
      <c r="O484">
        <v>107</v>
      </c>
      <c r="P484">
        <v>1188</v>
      </c>
      <c r="Q484">
        <v>211</v>
      </c>
      <c r="R484" t="s">
        <v>1541</v>
      </c>
      <c r="S484" s="3" t="s">
        <v>90</v>
      </c>
      <c r="T484" s="3">
        <f t="shared" si="21"/>
        <v>1</v>
      </c>
      <c r="U484" t="s">
        <v>96</v>
      </c>
      <c r="V484" t="s">
        <v>142</v>
      </c>
      <c r="W484" t="s">
        <v>95</v>
      </c>
      <c r="X484">
        <v>0</v>
      </c>
      <c r="Y484" t="s">
        <v>41</v>
      </c>
      <c r="Z484" t="s">
        <v>92</v>
      </c>
      <c r="AA484" t="s">
        <v>43</v>
      </c>
      <c r="AB484" t="s">
        <v>118</v>
      </c>
      <c r="AC484">
        <v>1</v>
      </c>
      <c r="AD484">
        <v>0</v>
      </c>
      <c r="AE484">
        <v>0</v>
      </c>
      <c r="AF484">
        <v>1</v>
      </c>
      <c r="AG484">
        <v>0</v>
      </c>
      <c r="AH484">
        <v>0</v>
      </c>
      <c r="AI484">
        <v>0</v>
      </c>
      <c r="AJ484" t="s">
        <v>1540</v>
      </c>
      <c r="AK484" t="s">
        <v>202</v>
      </c>
      <c r="AL484" t="s">
        <v>203</v>
      </c>
      <c r="AM484" t="str">
        <f t="shared" si="22"/>
        <v>2018-2020</v>
      </c>
      <c r="AN484">
        <f t="shared" si="23"/>
        <v>2</v>
      </c>
    </row>
    <row r="485" spans="1:40" x14ac:dyDescent="0.2">
      <c r="A485">
        <v>484</v>
      </c>
      <c r="B485" t="s">
        <v>1542</v>
      </c>
      <c r="C485" t="s">
        <v>1717</v>
      </c>
      <c r="D485" t="s">
        <v>441</v>
      </c>
      <c r="E485" t="s">
        <v>68</v>
      </c>
      <c r="F485" t="s">
        <v>929</v>
      </c>
      <c r="G485">
        <v>40</v>
      </c>
      <c r="H485">
        <v>20.026417370000001</v>
      </c>
      <c r="I485" t="s">
        <v>928</v>
      </c>
      <c r="J485">
        <v>27</v>
      </c>
      <c r="K485">
        <v>11.69838126</v>
      </c>
      <c r="L485">
        <v>17</v>
      </c>
      <c r="M485" t="s">
        <v>67</v>
      </c>
      <c r="N485">
        <v>19</v>
      </c>
      <c r="O485">
        <v>52</v>
      </c>
      <c r="P485">
        <v>1285</v>
      </c>
      <c r="Q485">
        <v>211</v>
      </c>
      <c r="R485" t="s">
        <v>1541</v>
      </c>
      <c r="S485" s="3" t="s">
        <v>90</v>
      </c>
      <c r="T485" s="3">
        <f t="shared" si="21"/>
        <v>1</v>
      </c>
      <c r="U485" t="s">
        <v>96</v>
      </c>
      <c r="V485" t="s">
        <v>142</v>
      </c>
      <c r="W485" t="s">
        <v>95</v>
      </c>
      <c r="X485">
        <v>0</v>
      </c>
      <c r="Y485" t="s">
        <v>41</v>
      </c>
      <c r="Z485" t="s">
        <v>92</v>
      </c>
      <c r="AA485" t="s">
        <v>43</v>
      </c>
      <c r="AB485" t="s">
        <v>118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0</v>
      </c>
      <c r="AJ485" t="s">
        <v>1543</v>
      </c>
      <c r="AK485" t="s">
        <v>125</v>
      </c>
      <c r="AL485" t="s">
        <v>126</v>
      </c>
      <c r="AM485" t="str">
        <f t="shared" si="22"/>
        <v>2022-2024</v>
      </c>
      <c r="AN485">
        <f t="shared" si="23"/>
        <v>2</v>
      </c>
    </row>
    <row r="486" spans="1:40" x14ac:dyDescent="0.2">
      <c r="A486">
        <v>485</v>
      </c>
      <c r="B486" t="s">
        <v>1544</v>
      </c>
      <c r="C486" t="s">
        <v>1717</v>
      </c>
      <c r="D486" t="s">
        <v>248</v>
      </c>
      <c r="E486" t="s">
        <v>98</v>
      </c>
      <c r="F486" t="s">
        <v>99</v>
      </c>
      <c r="G486">
        <v>21</v>
      </c>
      <c r="H486">
        <v>8.9112306299999986</v>
      </c>
      <c r="I486" t="s">
        <v>88</v>
      </c>
      <c r="J486">
        <v>19</v>
      </c>
      <c r="K486">
        <v>11.180891150000001</v>
      </c>
      <c r="L486">
        <v>5</v>
      </c>
      <c r="M486" t="s">
        <v>119</v>
      </c>
      <c r="N486">
        <v>2</v>
      </c>
      <c r="O486">
        <v>36</v>
      </c>
      <c r="P486">
        <v>87</v>
      </c>
      <c r="Q486">
        <v>211</v>
      </c>
      <c r="R486" t="s">
        <v>1541</v>
      </c>
      <c r="S486" s="3" t="s">
        <v>90</v>
      </c>
      <c r="T486" s="3">
        <f t="shared" si="21"/>
        <v>1</v>
      </c>
      <c r="U486" t="s">
        <v>96</v>
      </c>
      <c r="V486" t="s">
        <v>142</v>
      </c>
      <c r="W486" t="s">
        <v>95</v>
      </c>
      <c r="X486">
        <v>0</v>
      </c>
      <c r="Y486" t="s">
        <v>41</v>
      </c>
      <c r="Z486" t="s">
        <v>92</v>
      </c>
      <c r="AA486" t="s">
        <v>43</v>
      </c>
      <c r="AB486" t="s">
        <v>118</v>
      </c>
      <c r="AC486">
        <v>1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 t="s">
        <v>1545</v>
      </c>
      <c r="AK486" t="s">
        <v>320</v>
      </c>
      <c r="AL486" t="s">
        <v>321</v>
      </c>
      <c r="AM486" t="str">
        <f t="shared" si="22"/>
        <v>2016-2018</v>
      </c>
      <c r="AN486">
        <f t="shared" si="23"/>
        <v>2</v>
      </c>
    </row>
    <row r="487" spans="1:40" x14ac:dyDescent="0.2">
      <c r="A487">
        <v>486</v>
      </c>
      <c r="B487" t="s">
        <v>1546</v>
      </c>
      <c r="C487" t="s">
        <v>1717</v>
      </c>
      <c r="D487" t="s">
        <v>60</v>
      </c>
      <c r="E487" t="s">
        <v>150</v>
      </c>
      <c r="F487" t="s">
        <v>151</v>
      </c>
      <c r="G487">
        <v>291</v>
      </c>
      <c r="H487">
        <v>188.9752301100001</v>
      </c>
      <c r="I487" t="s">
        <v>140</v>
      </c>
      <c r="J487">
        <v>244</v>
      </c>
      <c r="K487">
        <v>123.191605095</v>
      </c>
      <c r="L487">
        <v>32</v>
      </c>
      <c r="M487" t="s">
        <v>49</v>
      </c>
      <c r="N487">
        <v>108</v>
      </c>
      <c r="O487">
        <v>304</v>
      </c>
      <c r="P487">
        <v>4323</v>
      </c>
      <c r="Q487">
        <v>212</v>
      </c>
      <c r="R487" t="s">
        <v>1548</v>
      </c>
      <c r="S487" s="3">
        <v>4</v>
      </c>
      <c r="T487" s="3">
        <f t="shared" si="21"/>
        <v>1</v>
      </c>
      <c r="U487" t="s">
        <v>96</v>
      </c>
      <c r="V487" t="s">
        <v>142</v>
      </c>
      <c r="W487" t="s">
        <v>95</v>
      </c>
      <c r="X487">
        <v>0</v>
      </c>
      <c r="Y487" t="s">
        <v>41</v>
      </c>
      <c r="Z487" t="s">
        <v>92</v>
      </c>
      <c r="AA487" t="s">
        <v>43</v>
      </c>
      <c r="AB487" t="s">
        <v>44</v>
      </c>
      <c r="AC487">
        <v>6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 t="s">
        <v>1547</v>
      </c>
      <c r="AK487" t="s">
        <v>775</v>
      </c>
      <c r="AL487" t="s">
        <v>776</v>
      </c>
      <c r="AM487" t="str">
        <f t="shared" si="22"/>
        <v>2014-2027</v>
      </c>
      <c r="AN487">
        <f t="shared" si="23"/>
        <v>13</v>
      </c>
    </row>
    <row r="488" spans="1:40" x14ac:dyDescent="0.2">
      <c r="A488">
        <v>487</v>
      </c>
      <c r="B488" t="s">
        <v>1549</v>
      </c>
      <c r="C488" t="s">
        <v>1718</v>
      </c>
      <c r="D488" t="s">
        <v>72</v>
      </c>
      <c r="E488" t="s">
        <v>68</v>
      </c>
      <c r="F488" t="s">
        <v>362</v>
      </c>
      <c r="G488">
        <v>65</v>
      </c>
      <c r="H488">
        <v>26.571808005999991</v>
      </c>
      <c r="I488" t="s">
        <v>357</v>
      </c>
      <c r="J488">
        <v>60</v>
      </c>
      <c r="K488">
        <v>33.427499500000003</v>
      </c>
      <c r="L488">
        <v>13</v>
      </c>
      <c r="M488" t="s">
        <v>67</v>
      </c>
      <c r="N488">
        <v>16</v>
      </c>
      <c r="O488">
        <v>66</v>
      </c>
      <c r="P488">
        <v>562</v>
      </c>
      <c r="Q488">
        <v>213</v>
      </c>
      <c r="R488" t="s">
        <v>1551</v>
      </c>
      <c r="S488" s="3" t="s">
        <v>90</v>
      </c>
      <c r="T488" s="3">
        <f t="shared" si="21"/>
        <v>1</v>
      </c>
      <c r="U488" t="s">
        <v>96</v>
      </c>
      <c r="V488" t="s">
        <v>142</v>
      </c>
      <c r="W488" t="s">
        <v>95</v>
      </c>
      <c r="X488">
        <v>0</v>
      </c>
      <c r="Y488" t="s">
        <v>41</v>
      </c>
      <c r="Z488" t="s">
        <v>92</v>
      </c>
      <c r="AA488" t="s">
        <v>360</v>
      </c>
      <c r="AB488" t="s">
        <v>570</v>
      </c>
      <c r="AC488">
        <v>2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1</v>
      </c>
      <c r="AJ488" t="s">
        <v>1550</v>
      </c>
      <c r="AK488" t="s">
        <v>55</v>
      </c>
      <c r="AL488" t="s">
        <v>56</v>
      </c>
      <c r="AM488" t="str">
        <f t="shared" si="22"/>
        <v>2022-2027</v>
      </c>
      <c r="AN488">
        <f t="shared" si="23"/>
        <v>5</v>
      </c>
    </row>
    <row r="489" spans="1:40" x14ac:dyDescent="0.2">
      <c r="A489">
        <v>488</v>
      </c>
      <c r="B489" t="s">
        <v>1552</v>
      </c>
      <c r="C489" t="s">
        <v>1717</v>
      </c>
      <c r="D489" t="s">
        <v>72</v>
      </c>
      <c r="E489" t="s">
        <v>68</v>
      </c>
      <c r="F489" t="s">
        <v>386</v>
      </c>
      <c r="G489">
        <v>215</v>
      </c>
      <c r="H489">
        <v>79.124998981000005</v>
      </c>
      <c r="I489" t="s">
        <v>385</v>
      </c>
      <c r="J489">
        <v>144</v>
      </c>
      <c r="K489">
        <v>66.557547599999992</v>
      </c>
      <c r="L489">
        <v>17</v>
      </c>
      <c r="M489" t="s">
        <v>67</v>
      </c>
      <c r="N489">
        <v>28</v>
      </c>
      <c r="O489">
        <v>277</v>
      </c>
      <c r="P489">
        <v>1125</v>
      </c>
      <c r="Q489">
        <v>213</v>
      </c>
      <c r="R489" t="s">
        <v>1551</v>
      </c>
      <c r="S489" s="3" t="s">
        <v>90</v>
      </c>
      <c r="T489" s="3">
        <f t="shared" si="21"/>
        <v>1</v>
      </c>
      <c r="U489" t="s">
        <v>96</v>
      </c>
      <c r="V489" t="s">
        <v>142</v>
      </c>
      <c r="W489" t="s">
        <v>95</v>
      </c>
      <c r="X489">
        <v>0</v>
      </c>
      <c r="Y489" t="s">
        <v>41</v>
      </c>
      <c r="Z489" t="s">
        <v>92</v>
      </c>
      <c r="AA489" t="s">
        <v>360</v>
      </c>
      <c r="AB489" t="s">
        <v>570</v>
      </c>
      <c r="AC489">
        <v>1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0</v>
      </c>
      <c r="AJ489" t="s">
        <v>1553</v>
      </c>
      <c r="AK489" t="s">
        <v>93</v>
      </c>
      <c r="AL489" t="s">
        <v>94</v>
      </c>
      <c r="AM489" t="str">
        <f t="shared" si="22"/>
        <v>2020-2021</v>
      </c>
      <c r="AN489">
        <f t="shared" si="23"/>
        <v>1</v>
      </c>
    </row>
    <row r="490" spans="1:40" x14ac:dyDescent="0.2">
      <c r="A490">
        <v>489</v>
      </c>
      <c r="B490" t="s">
        <v>1554</v>
      </c>
      <c r="C490" t="s">
        <v>1717</v>
      </c>
      <c r="D490" t="s">
        <v>123</v>
      </c>
      <c r="E490" t="s">
        <v>98</v>
      </c>
      <c r="F490" t="s">
        <v>99</v>
      </c>
      <c r="G490">
        <v>45</v>
      </c>
      <c r="H490">
        <v>18.257428525000009</v>
      </c>
      <c r="I490" t="s">
        <v>88</v>
      </c>
      <c r="J490">
        <v>34</v>
      </c>
      <c r="K490">
        <v>16.081335079999999</v>
      </c>
      <c r="L490">
        <v>6</v>
      </c>
      <c r="M490" t="s">
        <v>119</v>
      </c>
      <c r="N490">
        <v>5</v>
      </c>
      <c r="O490">
        <v>88</v>
      </c>
      <c r="P490">
        <v>253</v>
      </c>
      <c r="Q490">
        <v>214</v>
      </c>
      <c r="R490" t="s">
        <v>1556</v>
      </c>
      <c r="S490" s="3" t="s">
        <v>90</v>
      </c>
      <c r="T490" s="3">
        <f t="shared" si="21"/>
        <v>1</v>
      </c>
      <c r="U490" t="s">
        <v>96</v>
      </c>
      <c r="V490" t="s">
        <v>142</v>
      </c>
      <c r="W490" t="s">
        <v>95</v>
      </c>
      <c r="X490">
        <v>0</v>
      </c>
      <c r="Y490" t="s">
        <v>41</v>
      </c>
      <c r="Z490" t="s">
        <v>92</v>
      </c>
      <c r="AA490" t="s">
        <v>63</v>
      </c>
      <c r="AB490" t="s">
        <v>317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 t="s">
        <v>1555</v>
      </c>
      <c r="AK490" t="s">
        <v>125</v>
      </c>
      <c r="AL490" t="s">
        <v>126</v>
      </c>
      <c r="AM490" t="str">
        <f t="shared" si="22"/>
        <v>2022-2024</v>
      </c>
      <c r="AN490">
        <f t="shared" si="23"/>
        <v>2</v>
      </c>
    </row>
    <row r="491" spans="1:40" x14ac:dyDescent="0.2">
      <c r="A491">
        <v>490</v>
      </c>
      <c r="B491" t="s">
        <v>1557</v>
      </c>
      <c r="C491" t="s">
        <v>1718</v>
      </c>
      <c r="D491" t="s">
        <v>72</v>
      </c>
      <c r="E491" t="s">
        <v>68</v>
      </c>
      <c r="F491" t="s">
        <v>849</v>
      </c>
      <c r="G491">
        <v>143</v>
      </c>
      <c r="H491">
        <v>57.462171106000007</v>
      </c>
      <c r="I491" t="s">
        <v>848</v>
      </c>
      <c r="J491">
        <v>89</v>
      </c>
      <c r="K491">
        <v>45.281348990000012</v>
      </c>
      <c r="L491">
        <v>19</v>
      </c>
      <c r="M491" t="s">
        <v>67</v>
      </c>
      <c r="N491">
        <v>32</v>
      </c>
      <c r="O491">
        <v>175</v>
      </c>
      <c r="P491">
        <v>1340</v>
      </c>
      <c r="Q491">
        <v>214</v>
      </c>
      <c r="R491" t="s">
        <v>1556</v>
      </c>
      <c r="S491" s="3" t="s">
        <v>90</v>
      </c>
      <c r="T491" s="3">
        <f t="shared" si="21"/>
        <v>1</v>
      </c>
      <c r="U491" t="s">
        <v>96</v>
      </c>
      <c r="V491" t="s">
        <v>142</v>
      </c>
      <c r="W491" t="s">
        <v>95</v>
      </c>
      <c r="X491">
        <v>0</v>
      </c>
      <c r="Y491" t="s">
        <v>41</v>
      </c>
      <c r="Z491" t="s">
        <v>92</v>
      </c>
      <c r="AA491" t="s">
        <v>63</v>
      </c>
      <c r="AB491" t="s">
        <v>317</v>
      </c>
      <c r="AC491">
        <v>4</v>
      </c>
      <c r="AD491">
        <v>1</v>
      </c>
      <c r="AE491">
        <v>1</v>
      </c>
      <c r="AF491">
        <v>1</v>
      </c>
      <c r="AG491">
        <v>1</v>
      </c>
      <c r="AH491">
        <v>0</v>
      </c>
      <c r="AI491">
        <v>0</v>
      </c>
      <c r="AJ491" t="s">
        <v>1558</v>
      </c>
      <c r="AK491" t="s">
        <v>45</v>
      </c>
      <c r="AL491" t="s">
        <v>46</v>
      </c>
      <c r="AM491" t="str">
        <f t="shared" si="22"/>
        <v>2014-2021</v>
      </c>
      <c r="AN491">
        <f t="shared" si="23"/>
        <v>7</v>
      </c>
    </row>
    <row r="492" spans="1:40" x14ac:dyDescent="0.2">
      <c r="A492">
        <v>491</v>
      </c>
      <c r="B492" t="s">
        <v>1559</v>
      </c>
      <c r="C492" t="s">
        <v>1718</v>
      </c>
      <c r="D492" t="s">
        <v>72</v>
      </c>
      <c r="E492" t="s">
        <v>68</v>
      </c>
      <c r="F492" t="s">
        <v>386</v>
      </c>
      <c r="G492">
        <v>18</v>
      </c>
      <c r="H492">
        <v>7.5774779600000004</v>
      </c>
      <c r="I492" t="s">
        <v>385</v>
      </c>
      <c r="J492">
        <v>17</v>
      </c>
      <c r="K492">
        <v>8.5240846799999996</v>
      </c>
      <c r="L492">
        <v>8</v>
      </c>
      <c r="M492" t="s">
        <v>119</v>
      </c>
      <c r="N492">
        <v>7</v>
      </c>
      <c r="O492">
        <v>19</v>
      </c>
      <c r="P492">
        <v>170</v>
      </c>
      <c r="Q492">
        <v>214</v>
      </c>
      <c r="R492" t="s">
        <v>1556</v>
      </c>
      <c r="S492" s="3" t="s">
        <v>90</v>
      </c>
      <c r="T492" s="3">
        <f t="shared" si="21"/>
        <v>1</v>
      </c>
      <c r="U492" t="s">
        <v>96</v>
      </c>
      <c r="V492" t="s">
        <v>142</v>
      </c>
      <c r="W492" t="s">
        <v>95</v>
      </c>
      <c r="X492">
        <v>0</v>
      </c>
      <c r="Y492" t="s">
        <v>41</v>
      </c>
      <c r="Z492" t="s">
        <v>92</v>
      </c>
      <c r="AA492" t="s">
        <v>63</v>
      </c>
      <c r="AB492" t="s">
        <v>317</v>
      </c>
      <c r="AC492">
        <v>1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 t="s">
        <v>1560</v>
      </c>
      <c r="AK492" t="s">
        <v>125</v>
      </c>
      <c r="AL492" t="s">
        <v>126</v>
      </c>
      <c r="AM492" t="str">
        <f t="shared" si="22"/>
        <v>2022-2024</v>
      </c>
      <c r="AN492">
        <f t="shared" si="23"/>
        <v>2</v>
      </c>
    </row>
    <row r="493" spans="1:40" x14ac:dyDescent="0.2">
      <c r="A493">
        <v>492</v>
      </c>
      <c r="B493" t="s">
        <v>1561</v>
      </c>
      <c r="C493" t="s">
        <v>1717</v>
      </c>
      <c r="D493" t="s">
        <v>123</v>
      </c>
      <c r="E493" t="s">
        <v>476</v>
      </c>
      <c r="F493" t="s">
        <v>1564</v>
      </c>
      <c r="G493">
        <v>17</v>
      </c>
      <c r="H493">
        <v>11.4449454</v>
      </c>
      <c r="I493" t="s">
        <v>1563</v>
      </c>
      <c r="J493">
        <v>9</v>
      </c>
      <c r="K493">
        <v>3.9384104500000001</v>
      </c>
      <c r="L493">
        <v>6</v>
      </c>
      <c r="M493" t="s">
        <v>119</v>
      </c>
      <c r="N493">
        <v>2</v>
      </c>
      <c r="O493">
        <v>21</v>
      </c>
      <c r="P493">
        <v>102</v>
      </c>
      <c r="Q493">
        <v>214</v>
      </c>
      <c r="R493" t="s">
        <v>1556</v>
      </c>
      <c r="S493" s="3" t="s">
        <v>90</v>
      </c>
      <c r="T493" s="3">
        <f t="shared" si="21"/>
        <v>1</v>
      </c>
      <c r="U493" t="s">
        <v>96</v>
      </c>
      <c r="V493" t="s">
        <v>142</v>
      </c>
      <c r="W493" t="s">
        <v>95</v>
      </c>
      <c r="X493">
        <v>0</v>
      </c>
      <c r="Y493" t="s">
        <v>41</v>
      </c>
      <c r="Z493" t="s">
        <v>92</v>
      </c>
      <c r="AA493" t="s">
        <v>63</v>
      </c>
      <c r="AB493" t="s">
        <v>317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 t="s">
        <v>1562</v>
      </c>
      <c r="AK493" t="s">
        <v>65</v>
      </c>
      <c r="AL493" t="s">
        <v>66</v>
      </c>
      <c r="AM493" t="str">
        <f t="shared" si="22"/>
        <v>2024-2027</v>
      </c>
      <c r="AN493">
        <f t="shared" si="23"/>
        <v>3</v>
      </c>
    </row>
    <row r="494" spans="1:40" x14ac:dyDescent="0.2">
      <c r="A494">
        <v>493</v>
      </c>
      <c r="B494" t="s">
        <v>1565</v>
      </c>
      <c r="C494" t="s">
        <v>1718</v>
      </c>
      <c r="D494" t="s">
        <v>441</v>
      </c>
      <c r="E494" t="s">
        <v>68</v>
      </c>
      <c r="F494" t="s">
        <v>1569</v>
      </c>
      <c r="G494">
        <v>117</v>
      </c>
      <c r="H494">
        <v>53.342769386000008</v>
      </c>
      <c r="I494" t="s">
        <v>1567</v>
      </c>
      <c r="J494">
        <v>117</v>
      </c>
      <c r="K494">
        <v>55.168186494999993</v>
      </c>
      <c r="L494">
        <v>30</v>
      </c>
      <c r="M494" t="s">
        <v>49</v>
      </c>
      <c r="N494">
        <v>85</v>
      </c>
      <c r="O494">
        <v>245</v>
      </c>
      <c r="P494">
        <v>4991</v>
      </c>
      <c r="Q494">
        <v>215</v>
      </c>
      <c r="R494" t="s">
        <v>1568</v>
      </c>
      <c r="S494" s="3" t="s">
        <v>90</v>
      </c>
      <c r="T494" s="3">
        <f t="shared" si="21"/>
        <v>1</v>
      </c>
      <c r="U494" t="s">
        <v>96</v>
      </c>
      <c r="V494" t="s">
        <v>142</v>
      </c>
      <c r="W494" t="s">
        <v>95</v>
      </c>
      <c r="X494">
        <v>0</v>
      </c>
      <c r="Y494" t="s">
        <v>41</v>
      </c>
      <c r="Z494" t="s">
        <v>92</v>
      </c>
      <c r="AA494" t="s">
        <v>43</v>
      </c>
      <c r="AB494" t="s">
        <v>44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 t="s">
        <v>1566</v>
      </c>
      <c r="AK494" t="s">
        <v>125</v>
      </c>
      <c r="AL494" t="s">
        <v>126</v>
      </c>
      <c r="AM494" t="str">
        <f t="shared" si="22"/>
        <v>2022-2024</v>
      </c>
      <c r="AN494">
        <f t="shared" si="23"/>
        <v>2</v>
      </c>
    </row>
    <row r="495" spans="1:40" x14ac:dyDescent="0.2">
      <c r="A495">
        <v>494</v>
      </c>
      <c r="B495" t="s">
        <v>1570</v>
      </c>
      <c r="C495" t="s">
        <v>1717</v>
      </c>
      <c r="D495" t="s">
        <v>231</v>
      </c>
      <c r="E495" t="s">
        <v>98</v>
      </c>
      <c r="F495" t="s">
        <v>99</v>
      </c>
      <c r="G495">
        <v>58</v>
      </c>
      <c r="H495">
        <v>25.06829029</v>
      </c>
      <c r="I495" t="s">
        <v>88</v>
      </c>
      <c r="J495">
        <v>38</v>
      </c>
      <c r="K495">
        <v>18.424570249999999</v>
      </c>
      <c r="L495">
        <v>9</v>
      </c>
      <c r="M495" t="s">
        <v>119</v>
      </c>
      <c r="N495">
        <v>9</v>
      </c>
      <c r="O495">
        <v>102</v>
      </c>
      <c r="P495">
        <v>258</v>
      </c>
      <c r="Q495">
        <v>215</v>
      </c>
      <c r="R495" t="s">
        <v>1568</v>
      </c>
      <c r="S495" s="3" t="s">
        <v>90</v>
      </c>
      <c r="T495" s="3">
        <f t="shared" si="21"/>
        <v>1</v>
      </c>
      <c r="U495" t="s">
        <v>96</v>
      </c>
      <c r="V495" t="s">
        <v>142</v>
      </c>
      <c r="W495" t="s">
        <v>95</v>
      </c>
      <c r="X495">
        <v>0</v>
      </c>
      <c r="Y495" t="s">
        <v>41</v>
      </c>
      <c r="Z495" t="s">
        <v>92</v>
      </c>
      <c r="AA495" t="s">
        <v>43</v>
      </c>
      <c r="AB495" t="s">
        <v>44</v>
      </c>
      <c r="AC495">
        <v>2</v>
      </c>
      <c r="AD495">
        <v>0</v>
      </c>
      <c r="AE495">
        <v>0</v>
      </c>
      <c r="AF495">
        <v>1</v>
      </c>
      <c r="AG495">
        <v>1</v>
      </c>
      <c r="AH495">
        <v>0</v>
      </c>
      <c r="AI495">
        <v>0</v>
      </c>
      <c r="AJ495" t="s">
        <v>1571</v>
      </c>
      <c r="AK495" t="s">
        <v>193</v>
      </c>
      <c r="AL495" t="s">
        <v>194</v>
      </c>
      <c r="AM495" t="str">
        <f t="shared" si="22"/>
        <v>2018-2021</v>
      </c>
      <c r="AN495">
        <f t="shared" si="23"/>
        <v>3</v>
      </c>
    </row>
    <row r="496" spans="1:40" x14ac:dyDescent="0.2">
      <c r="A496">
        <v>495</v>
      </c>
      <c r="B496" t="s">
        <v>1572</v>
      </c>
      <c r="C496" t="s">
        <v>1717</v>
      </c>
      <c r="D496" t="s">
        <v>114</v>
      </c>
      <c r="E496" t="s">
        <v>50</v>
      </c>
      <c r="F496" t="s">
        <v>120</v>
      </c>
      <c r="G496">
        <v>42</v>
      </c>
      <c r="H496">
        <v>18.264179290000001</v>
      </c>
      <c r="I496" t="s">
        <v>115</v>
      </c>
      <c r="J496">
        <v>21</v>
      </c>
      <c r="K496">
        <v>2.7079487649999998</v>
      </c>
      <c r="L496">
        <v>11</v>
      </c>
      <c r="M496" t="s">
        <v>67</v>
      </c>
      <c r="N496">
        <v>18</v>
      </c>
      <c r="O496">
        <v>64</v>
      </c>
      <c r="P496">
        <v>501</v>
      </c>
      <c r="Q496">
        <v>215</v>
      </c>
      <c r="R496" t="s">
        <v>1568</v>
      </c>
      <c r="S496" s="3" t="s">
        <v>90</v>
      </c>
      <c r="T496" s="3">
        <f t="shared" si="21"/>
        <v>1</v>
      </c>
      <c r="U496" t="s">
        <v>96</v>
      </c>
      <c r="V496" t="s">
        <v>142</v>
      </c>
      <c r="W496" t="s">
        <v>95</v>
      </c>
      <c r="X496">
        <v>0</v>
      </c>
      <c r="Y496" t="s">
        <v>41</v>
      </c>
      <c r="Z496" t="s">
        <v>92</v>
      </c>
      <c r="AA496" t="s">
        <v>43</v>
      </c>
      <c r="AB496" t="s">
        <v>44</v>
      </c>
      <c r="AC496">
        <v>2</v>
      </c>
      <c r="AD496">
        <v>1</v>
      </c>
      <c r="AE496">
        <v>1</v>
      </c>
      <c r="AF496">
        <v>0</v>
      </c>
      <c r="AG496">
        <v>0</v>
      </c>
      <c r="AH496">
        <v>0</v>
      </c>
      <c r="AI496">
        <v>0</v>
      </c>
      <c r="AJ496" t="s">
        <v>1573</v>
      </c>
      <c r="AK496" t="s">
        <v>74</v>
      </c>
      <c r="AL496" t="s">
        <v>75</v>
      </c>
      <c r="AM496" t="str">
        <f t="shared" si="22"/>
        <v>2014-2018</v>
      </c>
      <c r="AN496">
        <f t="shared" si="23"/>
        <v>4</v>
      </c>
    </row>
    <row r="497" spans="1:40" x14ac:dyDescent="0.2">
      <c r="A497">
        <v>496</v>
      </c>
      <c r="B497" t="s">
        <v>1574</v>
      </c>
      <c r="C497" t="s">
        <v>1717</v>
      </c>
      <c r="D497" t="s">
        <v>72</v>
      </c>
      <c r="E497" t="s">
        <v>68</v>
      </c>
      <c r="F497" t="s">
        <v>1233</v>
      </c>
      <c r="G497">
        <v>358</v>
      </c>
      <c r="H497">
        <v>271.59212837000018</v>
      </c>
      <c r="I497" t="s">
        <v>1232</v>
      </c>
      <c r="J497">
        <v>284</v>
      </c>
      <c r="K497">
        <v>137.2018443799999</v>
      </c>
      <c r="L497">
        <v>39</v>
      </c>
      <c r="M497" t="s">
        <v>49</v>
      </c>
      <c r="N497">
        <v>168</v>
      </c>
      <c r="O497">
        <v>369</v>
      </c>
      <c r="P497">
        <v>6124</v>
      </c>
      <c r="Q497">
        <v>215</v>
      </c>
      <c r="R497" t="s">
        <v>1568</v>
      </c>
      <c r="S497" s="3" t="s">
        <v>90</v>
      </c>
      <c r="T497" s="3">
        <f t="shared" si="21"/>
        <v>1</v>
      </c>
      <c r="U497" t="s">
        <v>96</v>
      </c>
      <c r="V497" t="s">
        <v>142</v>
      </c>
      <c r="W497" t="s">
        <v>95</v>
      </c>
      <c r="X497">
        <v>0</v>
      </c>
      <c r="Y497" t="s">
        <v>41</v>
      </c>
      <c r="Z497" t="s">
        <v>92</v>
      </c>
      <c r="AA497" t="s">
        <v>43</v>
      </c>
      <c r="AB497" t="s">
        <v>44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 t="s">
        <v>1575</v>
      </c>
      <c r="AK497" t="s">
        <v>65</v>
      </c>
      <c r="AL497" t="s">
        <v>66</v>
      </c>
      <c r="AM497" t="str">
        <f t="shared" si="22"/>
        <v>2024-2027</v>
      </c>
      <c r="AN497">
        <f t="shared" si="23"/>
        <v>3</v>
      </c>
    </row>
    <row r="498" spans="1:40" x14ac:dyDescent="0.2">
      <c r="A498">
        <v>497</v>
      </c>
      <c r="B498" t="s">
        <v>1576</v>
      </c>
      <c r="C498" t="s">
        <v>1717</v>
      </c>
      <c r="D498" t="s">
        <v>72</v>
      </c>
      <c r="E498" t="s">
        <v>68</v>
      </c>
      <c r="F498" t="s">
        <v>386</v>
      </c>
      <c r="G498">
        <v>190</v>
      </c>
      <c r="H498">
        <v>97.95766806499995</v>
      </c>
      <c r="I498" t="s">
        <v>385</v>
      </c>
      <c r="J498">
        <v>155</v>
      </c>
      <c r="K498">
        <v>76.805383799999944</v>
      </c>
      <c r="L498">
        <v>19</v>
      </c>
      <c r="M498" t="s">
        <v>67</v>
      </c>
      <c r="N498">
        <v>50</v>
      </c>
      <c r="O498">
        <v>206</v>
      </c>
      <c r="P498">
        <v>1299</v>
      </c>
      <c r="Q498">
        <v>216</v>
      </c>
      <c r="R498" t="s">
        <v>1578</v>
      </c>
      <c r="S498" s="3" t="s">
        <v>90</v>
      </c>
      <c r="T498" s="3">
        <f t="shared" si="21"/>
        <v>1</v>
      </c>
      <c r="U498" t="s">
        <v>96</v>
      </c>
      <c r="V498" t="s">
        <v>142</v>
      </c>
      <c r="W498" t="s">
        <v>95</v>
      </c>
      <c r="X498">
        <v>0</v>
      </c>
      <c r="Y498" t="s">
        <v>41</v>
      </c>
      <c r="Z498" t="s">
        <v>92</v>
      </c>
      <c r="AA498" t="s">
        <v>63</v>
      </c>
      <c r="AB498" t="s">
        <v>602</v>
      </c>
      <c r="AC498">
        <v>2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1</v>
      </c>
      <c r="AJ498" t="s">
        <v>1577</v>
      </c>
      <c r="AK498" t="s">
        <v>55</v>
      </c>
      <c r="AL498" t="s">
        <v>56</v>
      </c>
      <c r="AM498" t="str">
        <f t="shared" si="22"/>
        <v>2022-2027</v>
      </c>
      <c r="AN498">
        <f t="shared" si="23"/>
        <v>5</v>
      </c>
    </row>
    <row r="499" spans="1:40" x14ac:dyDescent="0.2">
      <c r="A499">
        <v>498</v>
      </c>
      <c r="B499" t="s">
        <v>1579</v>
      </c>
      <c r="C499" t="s">
        <v>1717</v>
      </c>
      <c r="D499" t="s">
        <v>72</v>
      </c>
      <c r="E499" t="s">
        <v>68</v>
      </c>
      <c r="F499" t="s">
        <v>386</v>
      </c>
      <c r="G499">
        <v>239</v>
      </c>
      <c r="H499">
        <v>81.777312238000079</v>
      </c>
      <c r="I499" t="s">
        <v>385</v>
      </c>
      <c r="J499">
        <v>209</v>
      </c>
      <c r="K499">
        <v>114.94974027000001</v>
      </c>
      <c r="L499">
        <v>16</v>
      </c>
      <c r="M499" t="s">
        <v>67</v>
      </c>
      <c r="N499">
        <v>42</v>
      </c>
      <c r="O499">
        <v>268</v>
      </c>
      <c r="P499">
        <v>1411</v>
      </c>
      <c r="Q499">
        <v>216</v>
      </c>
      <c r="R499" t="s">
        <v>1578</v>
      </c>
      <c r="S499" s="3" t="s">
        <v>90</v>
      </c>
      <c r="T499" s="3">
        <f t="shared" si="21"/>
        <v>1</v>
      </c>
      <c r="U499" t="s">
        <v>96</v>
      </c>
      <c r="V499" t="s">
        <v>142</v>
      </c>
      <c r="W499" t="s">
        <v>95</v>
      </c>
      <c r="X499">
        <v>0</v>
      </c>
      <c r="Y499" t="s">
        <v>41</v>
      </c>
      <c r="Z499" t="s">
        <v>92</v>
      </c>
      <c r="AA499" t="s">
        <v>63</v>
      </c>
      <c r="AB499" t="s">
        <v>602</v>
      </c>
      <c r="AC499">
        <v>1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 t="s">
        <v>1580</v>
      </c>
      <c r="AK499" t="s">
        <v>93</v>
      </c>
      <c r="AL499" t="s">
        <v>94</v>
      </c>
      <c r="AM499" t="str">
        <f t="shared" si="22"/>
        <v>2020-2021</v>
      </c>
      <c r="AN499">
        <f t="shared" si="23"/>
        <v>1</v>
      </c>
    </row>
    <row r="500" spans="1:40" x14ac:dyDescent="0.2">
      <c r="A500">
        <v>499</v>
      </c>
      <c r="B500" t="s">
        <v>1581</v>
      </c>
      <c r="C500" t="s">
        <v>1717</v>
      </c>
      <c r="D500" t="s">
        <v>231</v>
      </c>
      <c r="E500" t="s">
        <v>98</v>
      </c>
      <c r="F500" t="s">
        <v>99</v>
      </c>
      <c r="G500">
        <v>15</v>
      </c>
      <c r="H500">
        <v>5.3794818999999992</v>
      </c>
      <c r="I500" t="s">
        <v>88</v>
      </c>
      <c r="J500">
        <v>10</v>
      </c>
      <c r="K500">
        <v>5.8904719200000004</v>
      </c>
      <c r="L500">
        <v>5</v>
      </c>
      <c r="M500" t="s">
        <v>119</v>
      </c>
      <c r="N500">
        <v>4</v>
      </c>
      <c r="O500">
        <v>24</v>
      </c>
      <c r="P500">
        <v>95</v>
      </c>
      <c r="Q500">
        <v>217</v>
      </c>
      <c r="R500" t="s">
        <v>1583</v>
      </c>
      <c r="S500" s="3" t="s">
        <v>90</v>
      </c>
      <c r="T500" s="3">
        <f t="shared" si="21"/>
        <v>1</v>
      </c>
      <c r="U500" t="s">
        <v>96</v>
      </c>
      <c r="V500" t="s">
        <v>142</v>
      </c>
      <c r="W500" t="s">
        <v>148</v>
      </c>
      <c r="X500">
        <v>0</v>
      </c>
      <c r="Y500" t="s">
        <v>143</v>
      </c>
      <c r="Z500" t="s">
        <v>144</v>
      </c>
      <c r="AA500" t="s">
        <v>224</v>
      </c>
      <c r="AB500" t="s">
        <v>234</v>
      </c>
      <c r="AC500">
        <v>4</v>
      </c>
      <c r="AD500">
        <v>1</v>
      </c>
      <c r="AE500">
        <v>1</v>
      </c>
      <c r="AF500">
        <v>1</v>
      </c>
      <c r="AG500">
        <v>1</v>
      </c>
      <c r="AH500">
        <v>0</v>
      </c>
      <c r="AI500">
        <v>0</v>
      </c>
      <c r="AJ500" t="s">
        <v>1582</v>
      </c>
      <c r="AK500" t="s">
        <v>45</v>
      </c>
      <c r="AL500" t="s">
        <v>46</v>
      </c>
      <c r="AM500" t="str">
        <f t="shared" si="22"/>
        <v>2014-2021</v>
      </c>
      <c r="AN500">
        <f t="shared" si="23"/>
        <v>7</v>
      </c>
    </row>
    <row r="501" spans="1:40" x14ac:dyDescent="0.2">
      <c r="A501">
        <v>500</v>
      </c>
      <c r="B501" t="s">
        <v>1584</v>
      </c>
      <c r="C501" t="s">
        <v>1717</v>
      </c>
      <c r="D501" t="s">
        <v>72</v>
      </c>
      <c r="E501" t="s">
        <v>68</v>
      </c>
      <c r="F501" t="s">
        <v>69</v>
      </c>
      <c r="G501">
        <v>287</v>
      </c>
      <c r="H501">
        <v>152.75558352999991</v>
      </c>
      <c r="I501" t="s">
        <v>61</v>
      </c>
      <c r="J501">
        <v>221</v>
      </c>
      <c r="K501">
        <v>117.92485651</v>
      </c>
      <c r="L501">
        <v>33</v>
      </c>
      <c r="M501" t="s">
        <v>49</v>
      </c>
      <c r="N501">
        <v>125</v>
      </c>
      <c r="O501">
        <v>327</v>
      </c>
      <c r="P501">
        <v>4117</v>
      </c>
      <c r="Q501">
        <v>217</v>
      </c>
      <c r="R501" t="s">
        <v>1583</v>
      </c>
      <c r="S501" s="3" t="s">
        <v>90</v>
      </c>
      <c r="T501" s="3">
        <f t="shared" si="21"/>
        <v>1</v>
      </c>
      <c r="U501" t="s">
        <v>96</v>
      </c>
      <c r="V501" t="s">
        <v>142</v>
      </c>
      <c r="W501" t="s">
        <v>148</v>
      </c>
      <c r="X501">
        <v>0</v>
      </c>
      <c r="Y501" t="s">
        <v>143</v>
      </c>
      <c r="Z501" t="s">
        <v>144</v>
      </c>
      <c r="AA501" t="s">
        <v>224</v>
      </c>
      <c r="AB501" t="s">
        <v>234</v>
      </c>
      <c r="AC501">
        <v>2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1</v>
      </c>
      <c r="AJ501" t="s">
        <v>1585</v>
      </c>
      <c r="AK501" t="s">
        <v>55</v>
      </c>
      <c r="AL501" t="s">
        <v>56</v>
      </c>
      <c r="AM501" t="str">
        <f t="shared" si="22"/>
        <v>2022-2027</v>
      </c>
      <c r="AN501">
        <f t="shared" si="23"/>
        <v>5</v>
      </c>
    </row>
    <row r="502" spans="1:40" x14ac:dyDescent="0.2">
      <c r="A502">
        <v>501</v>
      </c>
      <c r="B502" t="s">
        <v>1586</v>
      </c>
      <c r="C502" t="s">
        <v>1718</v>
      </c>
      <c r="D502" t="s">
        <v>79</v>
      </c>
      <c r="E502" t="s">
        <v>68</v>
      </c>
      <c r="F502" t="s">
        <v>84</v>
      </c>
      <c r="G502">
        <v>100</v>
      </c>
      <c r="H502">
        <v>53.134136330000047</v>
      </c>
      <c r="I502" t="s">
        <v>80</v>
      </c>
      <c r="J502">
        <v>91</v>
      </c>
      <c r="K502">
        <v>34.951335390000011</v>
      </c>
      <c r="L502">
        <v>27</v>
      </c>
      <c r="M502" t="s">
        <v>49</v>
      </c>
      <c r="N502">
        <v>56</v>
      </c>
      <c r="O502">
        <v>143</v>
      </c>
      <c r="P502">
        <v>3455</v>
      </c>
      <c r="Q502">
        <v>218</v>
      </c>
      <c r="R502" t="s">
        <v>1588</v>
      </c>
      <c r="S502" s="3" t="s">
        <v>90</v>
      </c>
      <c r="T502" s="3">
        <f t="shared" si="21"/>
        <v>1</v>
      </c>
      <c r="U502" t="s">
        <v>96</v>
      </c>
      <c r="V502" t="s">
        <v>142</v>
      </c>
      <c r="W502" t="s">
        <v>148</v>
      </c>
      <c r="X502">
        <v>0</v>
      </c>
      <c r="Y502" t="s">
        <v>143</v>
      </c>
      <c r="Z502" t="s">
        <v>144</v>
      </c>
      <c r="AA502" t="s">
        <v>224</v>
      </c>
      <c r="AB502" t="s">
        <v>234</v>
      </c>
      <c r="AC502">
        <v>4</v>
      </c>
      <c r="AD502">
        <v>0</v>
      </c>
      <c r="AE502">
        <v>0</v>
      </c>
      <c r="AF502">
        <v>1</v>
      </c>
      <c r="AG502">
        <v>1</v>
      </c>
      <c r="AH502">
        <v>1</v>
      </c>
      <c r="AI502">
        <v>1</v>
      </c>
      <c r="AJ502" t="s">
        <v>1587</v>
      </c>
      <c r="AK502" t="s">
        <v>146</v>
      </c>
      <c r="AL502" t="s">
        <v>147</v>
      </c>
      <c r="AM502" t="str">
        <f t="shared" si="22"/>
        <v>2018-2027</v>
      </c>
      <c r="AN502">
        <f t="shared" si="23"/>
        <v>9</v>
      </c>
    </row>
    <row r="503" spans="1:40" x14ac:dyDescent="0.2">
      <c r="A503">
        <v>502</v>
      </c>
      <c r="B503" t="s">
        <v>1589</v>
      </c>
      <c r="C503" t="s">
        <v>1717</v>
      </c>
      <c r="D503" t="s">
        <v>217</v>
      </c>
      <c r="E503" t="s">
        <v>98</v>
      </c>
      <c r="F503" t="s">
        <v>99</v>
      </c>
      <c r="G503">
        <v>69</v>
      </c>
      <c r="H503">
        <v>33.713121970000003</v>
      </c>
      <c r="I503" t="s">
        <v>88</v>
      </c>
      <c r="J503">
        <v>47</v>
      </c>
      <c r="K503">
        <v>23.883153220000001</v>
      </c>
      <c r="L503">
        <v>10</v>
      </c>
      <c r="M503" t="s">
        <v>119</v>
      </c>
      <c r="N503">
        <v>12</v>
      </c>
      <c r="O503">
        <v>145</v>
      </c>
      <c r="P503">
        <v>554</v>
      </c>
      <c r="Q503">
        <v>219</v>
      </c>
      <c r="R503" t="s">
        <v>1591</v>
      </c>
      <c r="S503" s="3" t="s">
        <v>90</v>
      </c>
      <c r="T503" s="3">
        <f t="shared" si="21"/>
        <v>1</v>
      </c>
      <c r="U503" t="s">
        <v>96</v>
      </c>
      <c r="V503" t="s">
        <v>142</v>
      </c>
      <c r="W503" t="s">
        <v>148</v>
      </c>
      <c r="X503">
        <v>0</v>
      </c>
      <c r="Y503" t="s">
        <v>143</v>
      </c>
      <c r="Z503" t="s">
        <v>144</v>
      </c>
      <c r="AA503" t="s">
        <v>224</v>
      </c>
      <c r="AB503" t="s">
        <v>234</v>
      </c>
      <c r="AC503">
        <v>2</v>
      </c>
      <c r="AD503">
        <v>1</v>
      </c>
      <c r="AE503">
        <v>1</v>
      </c>
      <c r="AF503">
        <v>0</v>
      </c>
      <c r="AG503">
        <v>0</v>
      </c>
      <c r="AH503">
        <v>0</v>
      </c>
      <c r="AI503">
        <v>0</v>
      </c>
      <c r="AJ503" t="s">
        <v>1590</v>
      </c>
      <c r="AK503" t="s">
        <v>82</v>
      </c>
      <c r="AL503" t="s">
        <v>83</v>
      </c>
      <c r="AM503" t="str">
        <f t="shared" si="22"/>
        <v>2014-2016</v>
      </c>
      <c r="AN503">
        <f t="shared" si="23"/>
        <v>2</v>
      </c>
    </row>
    <row r="504" spans="1:40" x14ac:dyDescent="0.2">
      <c r="A504">
        <v>503</v>
      </c>
      <c r="B504" t="s">
        <v>1592</v>
      </c>
      <c r="C504" t="s">
        <v>1718</v>
      </c>
      <c r="D504" t="s">
        <v>394</v>
      </c>
      <c r="E504" t="s">
        <v>98</v>
      </c>
      <c r="F504" t="s">
        <v>99</v>
      </c>
      <c r="G504">
        <v>11</v>
      </c>
      <c r="H504">
        <v>4.2523187900000003</v>
      </c>
      <c r="I504" t="s">
        <v>88</v>
      </c>
      <c r="J504">
        <v>13</v>
      </c>
      <c r="K504">
        <v>7.9348078099999997</v>
      </c>
      <c r="L504">
        <v>1</v>
      </c>
      <c r="M504" t="s">
        <v>137</v>
      </c>
      <c r="N504">
        <v>0</v>
      </c>
      <c r="O504">
        <v>14</v>
      </c>
      <c r="P504">
        <v>1</v>
      </c>
      <c r="Q504">
        <v>219</v>
      </c>
      <c r="R504" t="s">
        <v>1591</v>
      </c>
      <c r="S504" s="3" t="s">
        <v>90</v>
      </c>
      <c r="T504" s="3">
        <f t="shared" si="21"/>
        <v>1</v>
      </c>
      <c r="U504" t="s">
        <v>96</v>
      </c>
      <c r="V504" t="s">
        <v>142</v>
      </c>
      <c r="W504" t="s">
        <v>148</v>
      </c>
      <c r="X504">
        <v>0</v>
      </c>
      <c r="Y504" t="s">
        <v>143</v>
      </c>
      <c r="Z504" t="s">
        <v>144</v>
      </c>
      <c r="AA504" t="s">
        <v>224</v>
      </c>
      <c r="AB504" t="s">
        <v>234</v>
      </c>
      <c r="AC504">
        <v>1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 t="s">
        <v>1593</v>
      </c>
      <c r="AK504" t="s">
        <v>202</v>
      </c>
      <c r="AL504" t="s">
        <v>203</v>
      </c>
      <c r="AM504" t="str">
        <f t="shared" si="22"/>
        <v>2018-2020</v>
      </c>
      <c r="AN504">
        <f t="shared" si="23"/>
        <v>2</v>
      </c>
    </row>
    <row r="505" spans="1:40" x14ac:dyDescent="0.2">
      <c r="A505">
        <v>504</v>
      </c>
      <c r="B505" t="s">
        <v>1594</v>
      </c>
      <c r="C505" t="s">
        <v>1718</v>
      </c>
      <c r="D505" t="s">
        <v>123</v>
      </c>
      <c r="E505" t="s">
        <v>98</v>
      </c>
      <c r="F505" t="s">
        <v>99</v>
      </c>
      <c r="G505">
        <v>41</v>
      </c>
      <c r="H505">
        <v>22.200187109999991</v>
      </c>
      <c r="I505" t="s">
        <v>88</v>
      </c>
      <c r="J505">
        <v>38</v>
      </c>
      <c r="K505">
        <v>21.868287779999999</v>
      </c>
      <c r="L505">
        <v>6</v>
      </c>
      <c r="M505" t="s">
        <v>119</v>
      </c>
      <c r="N505">
        <v>2</v>
      </c>
      <c r="O505">
        <v>98</v>
      </c>
      <c r="P505">
        <v>136</v>
      </c>
      <c r="Q505">
        <v>220</v>
      </c>
      <c r="R505" t="s">
        <v>1596</v>
      </c>
      <c r="S505" s="3" t="s">
        <v>90</v>
      </c>
      <c r="T505" s="3">
        <f t="shared" si="21"/>
        <v>1</v>
      </c>
      <c r="U505" t="s">
        <v>96</v>
      </c>
      <c r="V505" t="s">
        <v>142</v>
      </c>
      <c r="W505" t="s">
        <v>148</v>
      </c>
      <c r="X505">
        <v>0</v>
      </c>
      <c r="Y505" t="s">
        <v>143</v>
      </c>
      <c r="Z505" t="s">
        <v>144</v>
      </c>
      <c r="AA505" t="s">
        <v>224</v>
      </c>
      <c r="AB505" t="s">
        <v>234</v>
      </c>
      <c r="AC505">
        <v>5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0</v>
      </c>
      <c r="AJ505" t="s">
        <v>1595</v>
      </c>
      <c r="AK505" t="s">
        <v>255</v>
      </c>
      <c r="AL505" t="s">
        <v>256</v>
      </c>
      <c r="AM505" t="str">
        <f t="shared" si="22"/>
        <v>2014-2024</v>
      </c>
      <c r="AN505">
        <f t="shared" si="23"/>
        <v>10</v>
      </c>
    </row>
    <row r="506" spans="1:40" x14ac:dyDescent="0.2">
      <c r="A506">
        <v>505</v>
      </c>
      <c r="B506" t="s">
        <v>1597</v>
      </c>
      <c r="C506" t="s">
        <v>1718</v>
      </c>
      <c r="D506" t="s">
        <v>186</v>
      </c>
      <c r="E506" t="s">
        <v>98</v>
      </c>
      <c r="F506" t="s">
        <v>99</v>
      </c>
      <c r="G506">
        <v>6</v>
      </c>
      <c r="H506">
        <v>1.9751278699999999</v>
      </c>
      <c r="I506" t="s">
        <v>88</v>
      </c>
      <c r="J506">
        <v>8</v>
      </c>
      <c r="K506">
        <v>4.2985782099999996</v>
      </c>
      <c r="L506">
        <v>1</v>
      </c>
      <c r="M506" t="s">
        <v>137</v>
      </c>
      <c r="N506">
        <v>0</v>
      </c>
      <c r="O506">
        <v>10</v>
      </c>
      <c r="P506">
        <v>1</v>
      </c>
      <c r="Q506">
        <v>220</v>
      </c>
      <c r="R506" t="s">
        <v>1596</v>
      </c>
      <c r="S506" s="3" t="s">
        <v>90</v>
      </c>
      <c r="T506" s="3">
        <f t="shared" si="21"/>
        <v>1</v>
      </c>
      <c r="U506" t="s">
        <v>96</v>
      </c>
      <c r="V506" t="s">
        <v>142</v>
      </c>
      <c r="W506" t="s">
        <v>148</v>
      </c>
      <c r="X506">
        <v>0</v>
      </c>
      <c r="Y506" t="s">
        <v>143</v>
      </c>
      <c r="Z506" t="s">
        <v>144</v>
      </c>
      <c r="AA506" t="s">
        <v>224</v>
      </c>
      <c r="AB506" t="s">
        <v>234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 t="s">
        <v>1598</v>
      </c>
      <c r="AK506" t="s">
        <v>65</v>
      </c>
      <c r="AL506" t="s">
        <v>66</v>
      </c>
      <c r="AM506" t="str">
        <f t="shared" si="22"/>
        <v>2024-2027</v>
      </c>
      <c r="AN506">
        <f t="shared" si="23"/>
        <v>3</v>
      </c>
    </row>
    <row r="507" spans="1:40" x14ac:dyDescent="0.2">
      <c r="A507">
        <v>506</v>
      </c>
      <c r="B507" t="s">
        <v>1599</v>
      </c>
      <c r="C507" t="s">
        <v>1718</v>
      </c>
      <c r="D507" t="s">
        <v>72</v>
      </c>
      <c r="E507" t="s">
        <v>98</v>
      </c>
      <c r="F507" t="s">
        <v>99</v>
      </c>
      <c r="G507">
        <v>23</v>
      </c>
      <c r="H507">
        <v>5.5585418529999986</v>
      </c>
      <c r="I507" t="s">
        <v>88</v>
      </c>
      <c r="J507">
        <v>28</v>
      </c>
      <c r="K507">
        <v>14.50451848</v>
      </c>
      <c r="L507">
        <v>5</v>
      </c>
      <c r="M507" t="s">
        <v>119</v>
      </c>
      <c r="N507">
        <v>3</v>
      </c>
      <c r="O507">
        <v>82</v>
      </c>
      <c r="P507">
        <v>287</v>
      </c>
      <c r="Q507">
        <v>221</v>
      </c>
      <c r="R507" t="s">
        <v>1601</v>
      </c>
      <c r="S507" s="3" t="s">
        <v>90</v>
      </c>
      <c r="T507" s="3">
        <f t="shared" si="21"/>
        <v>1</v>
      </c>
      <c r="U507" t="s">
        <v>96</v>
      </c>
      <c r="V507" t="s">
        <v>142</v>
      </c>
      <c r="W507" t="s">
        <v>148</v>
      </c>
      <c r="X507">
        <v>0</v>
      </c>
      <c r="Y507" t="s">
        <v>143</v>
      </c>
      <c r="Z507" t="s">
        <v>144</v>
      </c>
      <c r="AA507" t="s">
        <v>224</v>
      </c>
      <c r="AB507" t="s">
        <v>234</v>
      </c>
      <c r="AC507">
        <v>4</v>
      </c>
      <c r="AD507">
        <v>0</v>
      </c>
      <c r="AE507">
        <v>1</v>
      </c>
      <c r="AF507">
        <v>1</v>
      </c>
      <c r="AG507">
        <v>1</v>
      </c>
      <c r="AH507">
        <v>1</v>
      </c>
      <c r="AI507">
        <v>0</v>
      </c>
      <c r="AJ507" t="s">
        <v>1600</v>
      </c>
      <c r="AK507" t="s">
        <v>399</v>
      </c>
      <c r="AL507" t="s">
        <v>400</v>
      </c>
      <c r="AM507" t="str">
        <f t="shared" si="22"/>
        <v>2016-2024</v>
      </c>
      <c r="AN507">
        <f t="shared" si="23"/>
        <v>8</v>
      </c>
    </row>
    <row r="508" spans="1:40" x14ac:dyDescent="0.2">
      <c r="A508">
        <v>507</v>
      </c>
      <c r="B508" t="s">
        <v>1602</v>
      </c>
      <c r="C508" t="s">
        <v>1717</v>
      </c>
      <c r="D508" t="s">
        <v>37</v>
      </c>
      <c r="E508" t="s">
        <v>98</v>
      </c>
      <c r="F508" t="s">
        <v>99</v>
      </c>
      <c r="G508">
        <v>1</v>
      </c>
      <c r="H508">
        <v>0.43385543999999998</v>
      </c>
      <c r="I508" t="s">
        <v>88</v>
      </c>
      <c r="J508">
        <v>1</v>
      </c>
      <c r="K508">
        <v>0.77604150000000005</v>
      </c>
      <c r="L508">
        <v>0</v>
      </c>
      <c r="M508" t="s">
        <v>137</v>
      </c>
      <c r="N508">
        <v>0</v>
      </c>
      <c r="O508">
        <v>1</v>
      </c>
      <c r="P508">
        <v>0</v>
      </c>
      <c r="Q508">
        <v>221</v>
      </c>
      <c r="R508" t="s">
        <v>1601</v>
      </c>
      <c r="S508" s="3" t="s">
        <v>90</v>
      </c>
      <c r="T508" s="3">
        <f t="shared" si="21"/>
        <v>1</v>
      </c>
      <c r="U508" t="s">
        <v>96</v>
      </c>
      <c r="V508" t="s">
        <v>142</v>
      </c>
      <c r="W508" t="s">
        <v>148</v>
      </c>
      <c r="X508">
        <v>0</v>
      </c>
      <c r="Y508" t="s">
        <v>143</v>
      </c>
      <c r="Z508" t="s">
        <v>144</v>
      </c>
      <c r="AA508" t="s">
        <v>224</v>
      </c>
      <c r="AB508" t="s">
        <v>234</v>
      </c>
      <c r="AC508">
        <v>2</v>
      </c>
      <c r="AD508">
        <v>1</v>
      </c>
      <c r="AE508">
        <v>1</v>
      </c>
      <c r="AF508">
        <v>0</v>
      </c>
      <c r="AG508">
        <v>0</v>
      </c>
      <c r="AH508">
        <v>0</v>
      </c>
      <c r="AI508">
        <v>0</v>
      </c>
      <c r="AJ508" t="s">
        <v>1603</v>
      </c>
      <c r="AK508" t="s">
        <v>82</v>
      </c>
      <c r="AL508" t="s">
        <v>83</v>
      </c>
      <c r="AM508" t="str">
        <f t="shared" si="22"/>
        <v>2014-2016</v>
      </c>
      <c r="AN508">
        <f t="shared" si="23"/>
        <v>2</v>
      </c>
    </row>
    <row r="509" spans="1:40" x14ac:dyDescent="0.2">
      <c r="A509">
        <v>508</v>
      </c>
      <c r="B509" t="s">
        <v>1604</v>
      </c>
      <c r="C509" t="s">
        <v>1718</v>
      </c>
      <c r="D509" t="s">
        <v>60</v>
      </c>
      <c r="E509" t="s">
        <v>150</v>
      </c>
      <c r="F509" t="s">
        <v>1607</v>
      </c>
      <c r="G509">
        <v>39</v>
      </c>
      <c r="H509">
        <v>25.617838580000001</v>
      </c>
      <c r="I509" t="s">
        <v>1606</v>
      </c>
      <c r="J509">
        <v>13</v>
      </c>
      <c r="K509">
        <v>5.6758902599999992</v>
      </c>
      <c r="L509">
        <v>14</v>
      </c>
      <c r="M509" t="s">
        <v>67</v>
      </c>
      <c r="N509">
        <v>16</v>
      </c>
      <c r="O509">
        <v>42</v>
      </c>
      <c r="P509">
        <v>518</v>
      </c>
      <c r="Q509">
        <v>222</v>
      </c>
      <c r="R509" t="s">
        <v>1608</v>
      </c>
      <c r="S509" s="3" t="s">
        <v>141</v>
      </c>
      <c r="T509" s="3">
        <f t="shared" si="21"/>
        <v>1</v>
      </c>
      <c r="U509" t="s">
        <v>149</v>
      </c>
      <c r="V509" t="s">
        <v>142</v>
      </c>
      <c r="W509" t="s">
        <v>148</v>
      </c>
      <c r="X509">
        <v>0</v>
      </c>
      <c r="Y509" t="s">
        <v>143</v>
      </c>
      <c r="Z509" t="s">
        <v>144</v>
      </c>
      <c r="AA509" t="s">
        <v>43</v>
      </c>
      <c r="AB509" t="s">
        <v>81</v>
      </c>
      <c r="AC509">
        <v>2</v>
      </c>
      <c r="AD509">
        <v>1</v>
      </c>
      <c r="AE509">
        <v>1</v>
      </c>
      <c r="AF509">
        <v>0</v>
      </c>
      <c r="AG509">
        <v>0</v>
      </c>
      <c r="AH509">
        <v>0</v>
      </c>
      <c r="AI509">
        <v>0</v>
      </c>
      <c r="AJ509" t="s">
        <v>1605</v>
      </c>
      <c r="AK509" t="s">
        <v>82</v>
      </c>
      <c r="AL509" t="s">
        <v>83</v>
      </c>
      <c r="AM509" t="str">
        <f t="shared" si="22"/>
        <v>2014-2016</v>
      </c>
      <c r="AN509">
        <f t="shared" si="23"/>
        <v>2</v>
      </c>
    </row>
    <row r="510" spans="1:40" x14ac:dyDescent="0.2">
      <c r="A510">
        <v>509</v>
      </c>
      <c r="B510" t="s">
        <v>1609</v>
      </c>
      <c r="C510" t="s">
        <v>1718</v>
      </c>
      <c r="D510" t="s">
        <v>60</v>
      </c>
      <c r="E510" t="s">
        <v>68</v>
      </c>
      <c r="F510" t="s">
        <v>890</v>
      </c>
      <c r="G510">
        <v>488</v>
      </c>
      <c r="H510">
        <v>306.01936951299979</v>
      </c>
      <c r="I510" t="s">
        <v>888</v>
      </c>
      <c r="J510">
        <v>233</v>
      </c>
      <c r="K510">
        <v>114.63502938000001</v>
      </c>
      <c r="L510">
        <v>39</v>
      </c>
      <c r="M510" t="s">
        <v>49</v>
      </c>
      <c r="N510">
        <v>190</v>
      </c>
      <c r="O510">
        <v>592</v>
      </c>
      <c r="P510">
        <v>6393</v>
      </c>
      <c r="Q510">
        <v>223</v>
      </c>
      <c r="R510" t="s">
        <v>1611</v>
      </c>
      <c r="S510" s="3" t="s">
        <v>141</v>
      </c>
      <c r="T510" s="3">
        <f t="shared" si="21"/>
        <v>1</v>
      </c>
      <c r="U510" t="s">
        <v>149</v>
      </c>
      <c r="V510" t="s">
        <v>142</v>
      </c>
      <c r="W510" t="s">
        <v>148</v>
      </c>
      <c r="X510">
        <v>0</v>
      </c>
      <c r="Y510" t="s">
        <v>143</v>
      </c>
      <c r="Z510" t="s">
        <v>144</v>
      </c>
      <c r="AA510" t="s">
        <v>43</v>
      </c>
      <c r="AB510" t="s">
        <v>81</v>
      </c>
      <c r="AC510">
        <v>2</v>
      </c>
      <c r="AD510">
        <v>0</v>
      </c>
      <c r="AE510">
        <v>1</v>
      </c>
      <c r="AF510">
        <v>1</v>
      </c>
      <c r="AG510">
        <v>0</v>
      </c>
      <c r="AH510">
        <v>0</v>
      </c>
      <c r="AI510">
        <v>0</v>
      </c>
      <c r="AJ510" t="s">
        <v>1610</v>
      </c>
      <c r="AK510" t="s">
        <v>156</v>
      </c>
      <c r="AL510" t="s">
        <v>157</v>
      </c>
      <c r="AM510" t="str">
        <f t="shared" si="22"/>
        <v>2016-2020</v>
      </c>
      <c r="AN510">
        <f t="shared" si="23"/>
        <v>4</v>
      </c>
    </row>
    <row r="511" spans="1:40" x14ac:dyDescent="0.2">
      <c r="A511">
        <v>510</v>
      </c>
      <c r="B511" t="s">
        <v>1612</v>
      </c>
      <c r="C511" t="s">
        <v>1718</v>
      </c>
      <c r="D511" t="s">
        <v>186</v>
      </c>
      <c r="E511" t="s">
        <v>98</v>
      </c>
      <c r="F511" t="s">
        <v>99</v>
      </c>
      <c r="G511">
        <v>42</v>
      </c>
      <c r="H511">
        <v>9.3949777750000028</v>
      </c>
      <c r="I511" t="s">
        <v>88</v>
      </c>
      <c r="J511">
        <v>46</v>
      </c>
      <c r="K511">
        <v>23.85779256</v>
      </c>
      <c r="L511">
        <v>6</v>
      </c>
      <c r="M511" t="s">
        <v>119</v>
      </c>
      <c r="N511">
        <v>3</v>
      </c>
      <c r="O511">
        <v>80</v>
      </c>
      <c r="P511">
        <v>134</v>
      </c>
      <c r="Q511">
        <v>224</v>
      </c>
      <c r="R511" t="s">
        <v>1614</v>
      </c>
      <c r="S511" s="3" t="s">
        <v>141</v>
      </c>
      <c r="T511" s="3">
        <f t="shared" si="21"/>
        <v>1</v>
      </c>
      <c r="U511" t="s">
        <v>149</v>
      </c>
      <c r="V511" t="s">
        <v>142</v>
      </c>
      <c r="W511" t="s">
        <v>162</v>
      </c>
      <c r="X511">
        <v>0</v>
      </c>
      <c r="Y511" t="s">
        <v>41</v>
      </c>
      <c r="Z511" t="s">
        <v>167</v>
      </c>
      <c r="AA511" t="s">
        <v>43</v>
      </c>
      <c r="AB511" t="s">
        <v>81</v>
      </c>
      <c r="AC511">
        <v>2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1</v>
      </c>
      <c r="AJ511" t="s">
        <v>1613</v>
      </c>
      <c r="AK511" t="s">
        <v>55</v>
      </c>
      <c r="AL511" t="s">
        <v>56</v>
      </c>
      <c r="AM511" t="str">
        <f t="shared" si="22"/>
        <v>2022-2027</v>
      </c>
      <c r="AN511">
        <f t="shared" si="23"/>
        <v>5</v>
      </c>
    </row>
    <row r="512" spans="1:40" x14ac:dyDescent="0.2">
      <c r="A512">
        <v>511</v>
      </c>
      <c r="B512" t="s">
        <v>1615</v>
      </c>
      <c r="C512" t="s">
        <v>1718</v>
      </c>
      <c r="D512" t="s">
        <v>60</v>
      </c>
      <c r="E512" t="s">
        <v>150</v>
      </c>
      <c r="F512" t="s">
        <v>151</v>
      </c>
      <c r="G512">
        <v>44</v>
      </c>
      <c r="H512">
        <v>24.390923323999999</v>
      </c>
      <c r="I512" t="s">
        <v>140</v>
      </c>
      <c r="J512">
        <v>25</v>
      </c>
      <c r="K512">
        <v>8.0098098540000002</v>
      </c>
      <c r="L512">
        <v>8</v>
      </c>
      <c r="M512" t="s">
        <v>119</v>
      </c>
      <c r="N512">
        <v>7</v>
      </c>
      <c r="O512">
        <v>50</v>
      </c>
      <c r="P512">
        <v>190</v>
      </c>
      <c r="Q512">
        <v>225</v>
      </c>
      <c r="R512" t="s">
        <v>1617</v>
      </c>
      <c r="S512" s="3" t="s">
        <v>141</v>
      </c>
      <c r="T512" s="3">
        <f t="shared" si="21"/>
        <v>1</v>
      </c>
      <c r="U512" t="s">
        <v>149</v>
      </c>
      <c r="V512" t="s">
        <v>142</v>
      </c>
      <c r="W512" t="s">
        <v>195</v>
      </c>
      <c r="X512">
        <v>0</v>
      </c>
      <c r="Y512" t="s">
        <v>143</v>
      </c>
      <c r="Z512" t="s">
        <v>190</v>
      </c>
      <c r="AA512" t="s">
        <v>224</v>
      </c>
      <c r="AB512" t="s">
        <v>225</v>
      </c>
      <c r="AC512">
        <v>5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0</v>
      </c>
      <c r="AJ512" t="s">
        <v>1616</v>
      </c>
      <c r="AK512" t="s">
        <v>255</v>
      </c>
      <c r="AL512" t="s">
        <v>256</v>
      </c>
      <c r="AM512" t="str">
        <f t="shared" si="22"/>
        <v>2014-2024</v>
      </c>
      <c r="AN512">
        <f t="shared" si="23"/>
        <v>10</v>
      </c>
    </row>
    <row r="513" spans="1:40" x14ac:dyDescent="0.2">
      <c r="A513">
        <v>512</v>
      </c>
      <c r="B513" t="s">
        <v>1618</v>
      </c>
      <c r="C513" t="s">
        <v>1718</v>
      </c>
      <c r="D513" t="s">
        <v>285</v>
      </c>
      <c r="E513" t="s">
        <v>98</v>
      </c>
      <c r="F513" t="s">
        <v>99</v>
      </c>
      <c r="G513">
        <v>3</v>
      </c>
      <c r="H513">
        <v>1.39951</v>
      </c>
      <c r="I513" t="s">
        <v>88</v>
      </c>
      <c r="J513">
        <v>3</v>
      </c>
      <c r="K513">
        <v>1.4678298700000001</v>
      </c>
      <c r="L513">
        <v>3</v>
      </c>
      <c r="M513" t="s">
        <v>97</v>
      </c>
      <c r="N513">
        <v>1</v>
      </c>
      <c r="O513">
        <v>4</v>
      </c>
      <c r="P513">
        <v>140</v>
      </c>
      <c r="Q513">
        <v>226</v>
      </c>
      <c r="R513" t="s">
        <v>1620</v>
      </c>
      <c r="S513" s="3" t="s">
        <v>141</v>
      </c>
      <c r="T513" s="3">
        <f t="shared" si="21"/>
        <v>1</v>
      </c>
      <c r="U513" t="s">
        <v>149</v>
      </c>
      <c r="V513" t="s">
        <v>142</v>
      </c>
      <c r="W513" t="s">
        <v>195</v>
      </c>
      <c r="X513">
        <v>0</v>
      </c>
      <c r="Y513" t="s">
        <v>143</v>
      </c>
      <c r="Z513" t="s">
        <v>190</v>
      </c>
      <c r="AA513" t="s">
        <v>43</v>
      </c>
      <c r="AB513" t="s">
        <v>81</v>
      </c>
      <c r="AC513">
        <v>2</v>
      </c>
      <c r="AD513">
        <v>0</v>
      </c>
      <c r="AE513">
        <v>0</v>
      </c>
      <c r="AF513">
        <v>1</v>
      </c>
      <c r="AG513">
        <v>1</v>
      </c>
      <c r="AH513">
        <v>0</v>
      </c>
      <c r="AI513">
        <v>0</v>
      </c>
      <c r="AJ513" t="s">
        <v>1619</v>
      </c>
      <c r="AK513" t="s">
        <v>193</v>
      </c>
      <c r="AL513" t="s">
        <v>194</v>
      </c>
      <c r="AM513" t="str">
        <f t="shared" si="22"/>
        <v>2018-2021</v>
      </c>
      <c r="AN513">
        <f t="shared" si="23"/>
        <v>3</v>
      </c>
    </row>
    <row r="514" spans="1:40" x14ac:dyDescent="0.2">
      <c r="A514">
        <v>513</v>
      </c>
      <c r="B514" t="s">
        <v>1621</v>
      </c>
      <c r="C514" t="s">
        <v>1718</v>
      </c>
      <c r="D514" t="s">
        <v>60</v>
      </c>
      <c r="E514" t="s">
        <v>98</v>
      </c>
      <c r="F514" t="s">
        <v>99</v>
      </c>
      <c r="G514">
        <v>9</v>
      </c>
      <c r="H514">
        <v>3.8764606399999999</v>
      </c>
      <c r="I514" t="s">
        <v>88</v>
      </c>
      <c r="J514">
        <v>5</v>
      </c>
      <c r="K514">
        <v>2.25521467</v>
      </c>
      <c r="L514">
        <v>3</v>
      </c>
      <c r="M514" t="s">
        <v>97</v>
      </c>
      <c r="N514">
        <v>3</v>
      </c>
      <c r="O514">
        <v>18</v>
      </c>
      <c r="P514">
        <v>104</v>
      </c>
      <c r="Q514">
        <v>226</v>
      </c>
      <c r="R514" t="s">
        <v>1620</v>
      </c>
      <c r="S514" s="3" t="s">
        <v>141</v>
      </c>
      <c r="T514" s="3">
        <f t="shared" si="21"/>
        <v>1</v>
      </c>
      <c r="U514" t="s">
        <v>149</v>
      </c>
      <c r="V514" t="s">
        <v>142</v>
      </c>
      <c r="W514" t="s">
        <v>195</v>
      </c>
      <c r="X514">
        <v>0</v>
      </c>
      <c r="Y514" t="s">
        <v>143</v>
      </c>
      <c r="Z514" t="s">
        <v>190</v>
      </c>
      <c r="AA514" t="s">
        <v>43</v>
      </c>
      <c r="AB514" t="s">
        <v>81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 t="s">
        <v>1622</v>
      </c>
      <c r="AK514" t="s">
        <v>65</v>
      </c>
      <c r="AL514" t="s">
        <v>66</v>
      </c>
      <c r="AM514" t="str">
        <f t="shared" si="22"/>
        <v>2024-2027</v>
      </c>
      <c r="AN514">
        <f t="shared" si="23"/>
        <v>3</v>
      </c>
    </row>
    <row r="515" spans="1:40" x14ac:dyDescent="0.2">
      <c r="A515">
        <v>514</v>
      </c>
      <c r="B515" t="s">
        <v>1623</v>
      </c>
      <c r="C515" t="s">
        <v>1717</v>
      </c>
      <c r="D515" t="s">
        <v>114</v>
      </c>
      <c r="E515" t="s">
        <v>68</v>
      </c>
      <c r="F515" t="s">
        <v>447</v>
      </c>
      <c r="G515">
        <v>46</v>
      </c>
      <c r="H515">
        <v>24.24568073</v>
      </c>
      <c r="I515" t="s">
        <v>446</v>
      </c>
      <c r="J515">
        <v>36</v>
      </c>
      <c r="K515">
        <v>19.793698169999999</v>
      </c>
      <c r="L515">
        <v>8</v>
      </c>
      <c r="M515" t="s">
        <v>119</v>
      </c>
      <c r="N515">
        <v>7</v>
      </c>
      <c r="O515">
        <v>70</v>
      </c>
      <c r="P515">
        <v>240</v>
      </c>
      <c r="Q515">
        <v>227</v>
      </c>
      <c r="R515" t="s">
        <v>1625</v>
      </c>
      <c r="S515" s="3">
        <v>3</v>
      </c>
      <c r="T515" s="3">
        <f t="shared" ref="T515:T542" si="24">IF(OR(S515="Sem IGC", ISBLANK(S515)), 0, 1)</f>
        <v>1</v>
      </c>
      <c r="U515" t="s">
        <v>149</v>
      </c>
      <c r="V515" t="s">
        <v>142</v>
      </c>
      <c r="W515" t="s">
        <v>195</v>
      </c>
      <c r="X515">
        <v>0</v>
      </c>
      <c r="Y515" t="s">
        <v>143</v>
      </c>
      <c r="Z515" t="s">
        <v>190</v>
      </c>
      <c r="AA515" t="s">
        <v>224</v>
      </c>
      <c r="AB515" t="s">
        <v>225</v>
      </c>
      <c r="AC515">
        <v>4</v>
      </c>
      <c r="AD515">
        <v>0</v>
      </c>
      <c r="AE515">
        <v>0</v>
      </c>
      <c r="AF515">
        <v>1</v>
      </c>
      <c r="AG515">
        <v>1</v>
      </c>
      <c r="AH515">
        <v>1</v>
      </c>
      <c r="AI515">
        <v>1</v>
      </c>
      <c r="AJ515" t="s">
        <v>1624</v>
      </c>
      <c r="AK515" t="s">
        <v>146</v>
      </c>
      <c r="AL515" t="s">
        <v>147</v>
      </c>
      <c r="AM515" t="str">
        <f t="shared" ref="AM515:AM543" si="25">LEFT(AL515,4) &amp; "-" &amp; RIGHT(AL515,4)</f>
        <v>2018-2027</v>
      </c>
      <c r="AN515">
        <f t="shared" ref="AN515:AN542" si="26">VALUE(RIGHT(AL515,4)) - VALUE(LEFT(AL515,4))</f>
        <v>9</v>
      </c>
    </row>
    <row r="516" spans="1:40" x14ac:dyDescent="0.2">
      <c r="A516">
        <v>515</v>
      </c>
      <c r="B516" t="s">
        <v>1626</v>
      </c>
      <c r="C516" t="s">
        <v>1718</v>
      </c>
      <c r="D516" t="s">
        <v>72</v>
      </c>
      <c r="E516" t="s">
        <v>68</v>
      </c>
      <c r="F516" t="s">
        <v>373</v>
      </c>
      <c r="G516">
        <v>50</v>
      </c>
      <c r="H516">
        <v>18.001223039999999</v>
      </c>
      <c r="I516" t="s">
        <v>372</v>
      </c>
      <c r="J516">
        <v>36</v>
      </c>
      <c r="K516">
        <v>11.064352189999999</v>
      </c>
      <c r="L516">
        <v>18</v>
      </c>
      <c r="M516" t="s">
        <v>67</v>
      </c>
      <c r="N516">
        <v>29</v>
      </c>
      <c r="O516">
        <v>72</v>
      </c>
      <c r="P516">
        <v>899</v>
      </c>
      <c r="Q516">
        <v>38</v>
      </c>
      <c r="R516" t="s">
        <v>345</v>
      </c>
      <c r="S516" s="3" t="s">
        <v>90</v>
      </c>
      <c r="T516" s="3">
        <f t="shared" si="24"/>
        <v>1</v>
      </c>
      <c r="U516" t="s">
        <v>96</v>
      </c>
      <c r="V516" t="s">
        <v>142</v>
      </c>
      <c r="W516" t="s">
        <v>162</v>
      </c>
      <c r="X516">
        <v>0</v>
      </c>
      <c r="Y516" t="s">
        <v>41</v>
      </c>
      <c r="Z516" t="s">
        <v>167</v>
      </c>
      <c r="AA516" t="s">
        <v>224</v>
      </c>
      <c r="AB516" t="s">
        <v>346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</v>
      </c>
      <c r="AJ516" t="s">
        <v>1627</v>
      </c>
      <c r="AK516" t="s">
        <v>65</v>
      </c>
      <c r="AL516" t="s">
        <v>66</v>
      </c>
      <c r="AM516" t="str">
        <f t="shared" si="25"/>
        <v>2024-2027</v>
      </c>
      <c r="AN516">
        <f t="shared" si="26"/>
        <v>3</v>
      </c>
    </row>
    <row r="517" spans="1:40" x14ac:dyDescent="0.2">
      <c r="A517">
        <v>516</v>
      </c>
      <c r="B517" t="s">
        <v>1628</v>
      </c>
      <c r="C517" t="s">
        <v>1717</v>
      </c>
      <c r="D517" t="s">
        <v>248</v>
      </c>
      <c r="E517" t="s">
        <v>68</v>
      </c>
      <c r="F517" t="s">
        <v>362</v>
      </c>
      <c r="G517">
        <v>121</v>
      </c>
      <c r="H517">
        <v>53.571539619999982</v>
      </c>
      <c r="I517" t="s">
        <v>357</v>
      </c>
      <c r="J517">
        <v>87</v>
      </c>
      <c r="K517">
        <v>32.673326576000001</v>
      </c>
      <c r="L517">
        <v>22</v>
      </c>
      <c r="M517" t="s">
        <v>49</v>
      </c>
      <c r="N517">
        <v>51</v>
      </c>
      <c r="O517">
        <v>141</v>
      </c>
      <c r="P517">
        <v>3868</v>
      </c>
      <c r="Q517">
        <v>38</v>
      </c>
      <c r="R517" t="s">
        <v>345</v>
      </c>
      <c r="S517" s="3" t="s">
        <v>90</v>
      </c>
      <c r="T517" s="3">
        <f t="shared" si="24"/>
        <v>1</v>
      </c>
      <c r="U517" t="s">
        <v>96</v>
      </c>
      <c r="V517" t="s">
        <v>142</v>
      </c>
      <c r="W517" t="s">
        <v>162</v>
      </c>
      <c r="X517">
        <v>0</v>
      </c>
      <c r="Y517" t="s">
        <v>41</v>
      </c>
      <c r="Z517" t="s">
        <v>167</v>
      </c>
      <c r="AA517" t="s">
        <v>224</v>
      </c>
      <c r="AB517" t="s">
        <v>346</v>
      </c>
      <c r="AC517">
        <v>2</v>
      </c>
      <c r="AD517">
        <v>0</v>
      </c>
      <c r="AE517">
        <v>1</v>
      </c>
      <c r="AF517">
        <v>1</v>
      </c>
      <c r="AG517">
        <v>0</v>
      </c>
      <c r="AH517">
        <v>0</v>
      </c>
      <c r="AI517">
        <v>0</v>
      </c>
      <c r="AJ517" t="s">
        <v>1629</v>
      </c>
      <c r="AK517" t="s">
        <v>156</v>
      </c>
      <c r="AL517" t="s">
        <v>157</v>
      </c>
      <c r="AM517" t="str">
        <f t="shared" si="25"/>
        <v>2016-2020</v>
      </c>
      <c r="AN517">
        <f t="shared" si="26"/>
        <v>4</v>
      </c>
    </row>
    <row r="518" spans="1:40" x14ac:dyDescent="0.2">
      <c r="A518">
        <v>517</v>
      </c>
      <c r="B518" t="s">
        <v>1630</v>
      </c>
      <c r="C518" t="s">
        <v>1717</v>
      </c>
      <c r="D518" t="s">
        <v>114</v>
      </c>
      <c r="E518" t="s">
        <v>50</v>
      </c>
      <c r="F518" t="s">
        <v>1633</v>
      </c>
      <c r="G518">
        <v>9</v>
      </c>
      <c r="H518">
        <v>3.4836428150000009</v>
      </c>
      <c r="I518" t="s">
        <v>1632</v>
      </c>
      <c r="J518">
        <v>6</v>
      </c>
      <c r="K518">
        <v>2.1873670999999999</v>
      </c>
      <c r="L518">
        <v>5</v>
      </c>
      <c r="M518" t="s">
        <v>119</v>
      </c>
      <c r="N518">
        <v>4</v>
      </c>
      <c r="O518">
        <v>12</v>
      </c>
      <c r="P518">
        <v>91</v>
      </c>
      <c r="Q518">
        <v>38</v>
      </c>
      <c r="R518" t="s">
        <v>345</v>
      </c>
      <c r="S518" s="3" t="s">
        <v>90</v>
      </c>
      <c r="T518" s="3">
        <f t="shared" si="24"/>
        <v>1</v>
      </c>
      <c r="U518" t="s">
        <v>96</v>
      </c>
      <c r="V518" t="s">
        <v>142</v>
      </c>
      <c r="W518" t="s">
        <v>162</v>
      </c>
      <c r="X518">
        <v>0</v>
      </c>
      <c r="Y518" t="s">
        <v>41</v>
      </c>
      <c r="Z518" t="s">
        <v>167</v>
      </c>
      <c r="AA518" t="s">
        <v>224</v>
      </c>
      <c r="AB518" t="s">
        <v>346</v>
      </c>
      <c r="AC518">
        <v>2</v>
      </c>
      <c r="AD518">
        <v>1</v>
      </c>
      <c r="AE518">
        <v>1</v>
      </c>
      <c r="AF518">
        <v>0</v>
      </c>
      <c r="AG518">
        <v>0</v>
      </c>
      <c r="AH518">
        <v>0</v>
      </c>
      <c r="AI518">
        <v>0</v>
      </c>
      <c r="AJ518" t="s">
        <v>1631</v>
      </c>
      <c r="AK518" t="s">
        <v>82</v>
      </c>
      <c r="AL518" t="s">
        <v>83</v>
      </c>
      <c r="AM518" t="str">
        <f t="shared" si="25"/>
        <v>2014-2016</v>
      </c>
      <c r="AN518">
        <f t="shared" si="26"/>
        <v>2</v>
      </c>
    </row>
    <row r="519" spans="1:40" x14ac:dyDescent="0.2">
      <c r="A519">
        <v>518</v>
      </c>
      <c r="B519" t="s">
        <v>1634</v>
      </c>
      <c r="C519" t="s">
        <v>1717</v>
      </c>
      <c r="D519" t="s">
        <v>394</v>
      </c>
      <c r="E519" t="s">
        <v>98</v>
      </c>
      <c r="F519" t="s">
        <v>99</v>
      </c>
      <c r="G519">
        <v>39</v>
      </c>
      <c r="H519">
        <v>16.2479026</v>
      </c>
      <c r="I519" t="s">
        <v>88</v>
      </c>
      <c r="J519">
        <v>47</v>
      </c>
      <c r="K519">
        <v>28.266893119999999</v>
      </c>
      <c r="L519">
        <v>1</v>
      </c>
      <c r="M519" t="s">
        <v>137</v>
      </c>
      <c r="N519">
        <v>0</v>
      </c>
      <c r="O519">
        <v>70</v>
      </c>
      <c r="P519">
        <v>8</v>
      </c>
      <c r="Q519">
        <v>228</v>
      </c>
      <c r="R519" t="s">
        <v>1636</v>
      </c>
      <c r="S519" s="3" t="s">
        <v>141</v>
      </c>
      <c r="T519" s="3">
        <f t="shared" si="24"/>
        <v>1</v>
      </c>
      <c r="U519" t="s">
        <v>149</v>
      </c>
      <c r="V519" t="s">
        <v>142</v>
      </c>
      <c r="W519" t="s">
        <v>220</v>
      </c>
      <c r="X519">
        <v>0</v>
      </c>
      <c r="Y519" t="s">
        <v>41</v>
      </c>
      <c r="Z519" t="s">
        <v>219</v>
      </c>
      <c r="AA519" t="s">
        <v>63</v>
      </c>
      <c r="AB519" t="s">
        <v>206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 t="s">
        <v>1635</v>
      </c>
      <c r="AK519" t="s">
        <v>125</v>
      </c>
      <c r="AL519" t="s">
        <v>126</v>
      </c>
      <c r="AM519" t="str">
        <f t="shared" si="25"/>
        <v>2022-2024</v>
      </c>
      <c r="AN519">
        <f t="shared" si="26"/>
        <v>2</v>
      </c>
    </row>
    <row r="520" spans="1:40" x14ac:dyDescent="0.2">
      <c r="A520">
        <v>519</v>
      </c>
      <c r="B520" t="s">
        <v>1637</v>
      </c>
      <c r="C520" t="s">
        <v>1717</v>
      </c>
      <c r="D520" t="s">
        <v>60</v>
      </c>
      <c r="E520" t="s">
        <v>50</v>
      </c>
      <c r="F520" t="s">
        <v>76</v>
      </c>
      <c r="G520">
        <v>291</v>
      </c>
      <c r="H520">
        <v>74.270981809999981</v>
      </c>
      <c r="I520" t="s">
        <v>73</v>
      </c>
      <c r="J520">
        <v>229</v>
      </c>
      <c r="K520">
        <v>48.317952689999963</v>
      </c>
      <c r="L520">
        <v>49</v>
      </c>
      <c r="M520" t="s">
        <v>49</v>
      </c>
      <c r="N520">
        <v>215</v>
      </c>
      <c r="O520">
        <v>423</v>
      </c>
      <c r="P520">
        <v>8309</v>
      </c>
      <c r="Q520">
        <v>228</v>
      </c>
      <c r="R520" t="s">
        <v>1636</v>
      </c>
      <c r="S520" s="3" t="s">
        <v>141</v>
      </c>
      <c r="T520" s="3">
        <f t="shared" si="24"/>
        <v>1</v>
      </c>
      <c r="U520" t="s">
        <v>149</v>
      </c>
      <c r="V520" t="s">
        <v>142</v>
      </c>
      <c r="W520" t="s">
        <v>220</v>
      </c>
      <c r="X520">
        <v>0</v>
      </c>
      <c r="Y520" t="s">
        <v>41</v>
      </c>
      <c r="Z520" t="s">
        <v>219</v>
      </c>
      <c r="AA520" t="s">
        <v>63</v>
      </c>
      <c r="AB520" t="s">
        <v>206</v>
      </c>
      <c r="AC520">
        <v>1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 t="s">
        <v>1638</v>
      </c>
      <c r="AK520" t="s">
        <v>93</v>
      </c>
      <c r="AL520" t="s">
        <v>94</v>
      </c>
      <c r="AM520" t="str">
        <f t="shared" si="25"/>
        <v>2020-2021</v>
      </c>
      <c r="AN520">
        <f t="shared" si="26"/>
        <v>1</v>
      </c>
    </row>
    <row r="521" spans="1:40" x14ac:dyDescent="0.2">
      <c r="A521">
        <v>520</v>
      </c>
      <c r="B521" t="s">
        <v>1639</v>
      </c>
      <c r="C521" t="s">
        <v>1718</v>
      </c>
      <c r="D521" t="s">
        <v>72</v>
      </c>
      <c r="E521" t="s">
        <v>68</v>
      </c>
      <c r="F521" t="s">
        <v>373</v>
      </c>
      <c r="G521">
        <v>72</v>
      </c>
      <c r="H521">
        <v>30.751913304999992</v>
      </c>
      <c r="I521" t="s">
        <v>372</v>
      </c>
      <c r="J521">
        <v>39</v>
      </c>
      <c r="K521">
        <v>14.724535787000001</v>
      </c>
      <c r="L521">
        <v>9</v>
      </c>
      <c r="M521" t="s">
        <v>119</v>
      </c>
      <c r="N521">
        <v>9</v>
      </c>
      <c r="O521">
        <v>81</v>
      </c>
      <c r="P521">
        <v>512</v>
      </c>
      <c r="Q521">
        <v>228</v>
      </c>
      <c r="R521" t="s">
        <v>1636</v>
      </c>
      <c r="S521" s="3" t="s">
        <v>141</v>
      </c>
      <c r="T521" s="3">
        <f t="shared" si="24"/>
        <v>1</v>
      </c>
      <c r="U521" t="s">
        <v>149</v>
      </c>
      <c r="V521" t="s">
        <v>142</v>
      </c>
      <c r="W521" t="s">
        <v>220</v>
      </c>
      <c r="X521">
        <v>0</v>
      </c>
      <c r="Y521" t="s">
        <v>41</v>
      </c>
      <c r="Z521" t="s">
        <v>219</v>
      </c>
      <c r="AA521" t="s">
        <v>63</v>
      </c>
      <c r="AB521" t="s">
        <v>206</v>
      </c>
      <c r="AC521">
        <v>2</v>
      </c>
      <c r="AD521">
        <v>1</v>
      </c>
      <c r="AE521">
        <v>1</v>
      </c>
      <c r="AF521">
        <v>0</v>
      </c>
      <c r="AG521">
        <v>0</v>
      </c>
      <c r="AH521">
        <v>0</v>
      </c>
      <c r="AI521">
        <v>0</v>
      </c>
      <c r="AJ521" t="s">
        <v>1640</v>
      </c>
      <c r="AK521" t="s">
        <v>82</v>
      </c>
      <c r="AL521" t="s">
        <v>83</v>
      </c>
      <c r="AM521" t="str">
        <f t="shared" si="25"/>
        <v>2014-2016</v>
      </c>
      <c r="AN521">
        <f t="shared" si="26"/>
        <v>2</v>
      </c>
    </row>
    <row r="522" spans="1:40" x14ac:dyDescent="0.2">
      <c r="A522">
        <v>521</v>
      </c>
      <c r="B522" t="s">
        <v>1641</v>
      </c>
      <c r="C522" t="s">
        <v>1717</v>
      </c>
      <c r="D522" t="s">
        <v>1034</v>
      </c>
      <c r="E522" t="s">
        <v>68</v>
      </c>
      <c r="F522" t="s">
        <v>1644</v>
      </c>
      <c r="G522">
        <v>10</v>
      </c>
      <c r="H522">
        <v>6.3997096359999999</v>
      </c>
      <c r="I522" t="s">
        <v>1643</v>
      </c>
      <c r="J522">
        <v>10</v>
      </c>
      <c r="K522">
        <v>4.0780744599999998</v>
      </c>
      <c r="L522">
        <v>2</v>
      </c>
      <c r="M522" t="s">
        <v>97</v>
      </c>
      <c r="N522">
        <v>1</v>
      </c>
      <c r="O522">
        <v>10</v>
      </c>
      <c r="P522">
        <v>37</v>
      </c>
      <c r="Q522">
        <v>228</v>
      </c>
      <c r="R522" t="s">
        <v>1636</v>
      </c>
      <c r="S522" s="3" t="s">
        <v>141</v>
      </c>
      <c r="T522" s="3">
        <f t="shared" si="24"/>
        <v>1</v>
      </c>
      <c r="U522" t="s">
        <v>149</v>
      </c>
      <c r="V522" t="s">
        <v>142</v>
      </c>
      <c r="W522" t="s">
        <v>220</v>
      </c>
      <c r="X522">
        <v>0</v>
      </c>
      <c r="Y522" t="s">
        <v>41</v>
      </c>
      <c r="Z522" t="s">
        <v>219</v>
      </c>
      <c r="AA522" t="s">
        <v>63</v>
      </c>
      <c r="AB522" t="s">
        <v>206</v>
      </c>
      <c r="AC522">
        <v>2</v>
      </c>
      <c r="AD522">
        <v>0</v>
      </c>
      <c r="AE522">
        <v>1</v>
      </c>
      <c r="AF522">
        <v>1</v>
      </c>
      <c r="AG522">
        <v>0</v>
      </c>
      <c r="AH522">
        <v>0</v>
      </c>
      <c r="AI522">
        <v>0</v>
      </c>
      <c r="AJ522" t="s">
        <v>1642</v>
      </c>
      <c r="AK522" t="s">
        <v>156</v>
      </c>
      <c r="AL522" t="s">
        <v>157</v>
      </c>
      <c r="AM522" t="str">
        <f t="shared" si="25"/>
        <v>2016-2020</v>
      </c>
      <c r="AN522">
        <f t="shared" si="26"/>
        <v>4</v>
      </c>
    </row>
    <row r="523" spans="1:40" x14ac:dyDescent="0.2">
      <c r="A523">
        <v>522</v>
      </c>
      <c r="B523" t="s">
        <v>1645</v>
      </c>
      <c r="C523" t="s">
        <v>1718</v>
      </c>
      <c r="D523" t="s">
        <v>248</v>
      </c>
      <c r="E523" t="s">
        <v>98</v>
      </c>
      <c r="F523" t="s">
        <v>99</v>
      </c>
      <c r="G523">
        <v>25</v>
      </c>
      <c r="H523">
        <v>10.7810582</v>
      </c>
      <c r="I523" t="s">
        <v>88</v>
      </c>
      <c r="J523">
        <v>29</v>
      </c>
      <c r="K523">
        <v>14.44964133</v>
      </c>
      <c r="L523">
        <v>2</v>
      </c>
      <c r="M523" t="s">
        <v>97</v>
      </c>
      <c r="N523">
        <v>0</v>
      </c>
      <c r="O523">
        <v>33</v>
      </c>
      <c r="P523">
        <v>19</v>
      </c>
      <c r="Q523">
        <v>228</v>
      </c>
      <c r="R523" t="s">
        <v>1636</v>
      </c>
      <c r="S523" s="3" t="s">
        <v>141</v>
      </c>
      <c r="T523" s="3">
        <f t="shared" si="24"/>
        <v>1</v>
      </c>
      <c r="U523" t="s">
        <v>149</v>
      </c>
      <c r="V523" t="s">
        <v>142</v>
      </c>
      <c r="W523" t="s">
        <v>220</v>
      </c>
      <c r="X523">
        <v>0</v>
      </c>
      <c r="Y523" t="s">
        <v>41</v>
      </c>
      <c r="Z523" t="s">
        <v>219</v>
      </c>
      <c r="AA523" t="s">
        <v>63</v>
      </c>
      <c r="AB523" t="s">
        <v>206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 t="s">
        <v>1646</v>
      </c>
      <c r="AK523" t="s">
        <v>65</v>
      </c>
      <c r="AL523" t="s">
        <v>66</v>
      </c>
      <c r="AM523" t="str">
        <f t="shared" si="25"/>
        <v>2024-2027</v>
      </c>
      <c r="AN523">
        <f t="shared" si="26"/>
        <v>3</v>
      </c>
    </row>
    <row r="524" spans="1:40" x14ac:dyDescent="0.2">
      <c r="A524">
        <v>523</v>
      </c>
      <c r="B524" t="s">
        <v>1647</v>
      </c>
      <c r="C524" t="s">
        <v>1717</v>
      </c>
      <c r="D524" t="s">
        <v>231</v>
      </c>
      <c r="E524" t="s">
        <v>98</v>
      </c>
      <c r="F524" t="s">
        <v>99</v>
      </c>
      <c r="G524">
        <v>119</v>
      </c>
      <c r="H524">
        <v>50.317603320000011</v>
      </c>
      <c r="I524" t="s">
        <v>88</v>
      </c>
      <c r="J524">
        <v>133</v>
      </c>
      <c r="K524">
        <v>68.373098330000047</v>
      </c>
      <c r="L524">
        <v>5</v>
      </c>
      <c r="M524" t="s">
        <v>119</v>
      </c>
      <c r="N524">
        <v>2</v>
      </c>
      <c r="O524">
        <v>214</v>
      </c>
      <c r="P524">
        <v>231</v>
      </c>
      <c r="Q524">
        <v>229</v>
      </c>
      <c r="R524" t="s">
        <v>1649</v>
      </c>
      <c r="S524" s="3" t="s">
        <v>90</v>
      </c>
      <c r="T524" s="3">
        <f t="shared" si="24"/>
        <v>1</v>
      </c>
      <c r="U524" t="s">
        <v>96</v>
      </c>
      <c r="V524" t="s">
        <v>142</v>
      </c>
      <c r="W524" t="s">
        <v>148</v>
      </c>
      <c r="X524">
        <v>0</v>
      </c>
      <c r="Y524" t="s">
        <v>143</v>
      </c>
      <c r="Z524" t="s">
        <v>144</v>
      </c>
      <c r="AA524" t="s">
        <v>224</v>
      </c>
      <c r="AB524" t="s">
        <v>234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 t="s">
        <v>1648</v>
      </c>
      <c r="AK524" t="s">
        <v>65</v>
      </c>
      <c r="AL524" t="s">
        <v>66</v>
      </c>
      <c r="AM524" t="str">
        <f t="shared" si="25"/>
        <v>2024-2027</v>
      </c>
      <c r="AN524">
        <f t="shared" si="26"/>
        <v>3</v>
      </c>
    </row>
    <row r="525" spans="1:40" x14ac:dyDescent="0.2">
      <c r="A525">
        <v>524</v>
      </c>
      <c r="B525" t="s">
        <v>1650</v>
      </c>
      <c r="C525" t="s">
        <v>1718</v>
      </c>
      <c r="D525" t="s">
        <v>72</v>
      </c>
      <c r="E525" t="s">
        <v>98</v>
      </c>
      <c r="F525" t="s">
        <v>99</v>
      </c>
      <c r="G525">
        <v>4</v>
      </c>
      <c r="H525">
        <v>1.87469438</v>
      </c>
      <c r="I525" t="s">
        <v>88</v>
      </c>
      <c r="J525">
        <v>6</v>
      </c>
      <c r="K525">
        <v>3.1956914099999998</v>
      </c>
      <c r="L525">
        <v>2</v>
      </c>
      <c r="M525" t="s">
        <v>97</v>
      </c>
      <c r="N525">
        <v>0</v>
      </c>
      <c r="O525">
        <v>7</v>
      </c>
      <c r="P525">
        <v>15</v>
      </c>
      <c r="Q525">
        <v>229</v>
      </c>
      <c r="R525" t="s">
        <v>1649</v>
      </c>
      <c r="S525" s="3" t="s">
        <v>90</v>
      </c>
      <c r="T525" s="3">
        <f t="shared" si="24"/>
        <v>1</v>
      </c>
      <c r="U525" t="s">
        <v>96</v>
      </c>
      <c r="V525" t="s">
        <v>142</v>
      </c>
      <c r="W525" t="s">
        <v>148</v>
      </c>
      <c r="X525">
        <v>0</v>
      </c>
      <c r="Y525" t="s">
        <v>143</v>
      </c>
      <c r="Z525" t="s">
        <v>144</v>
      </c>
      <c r="AA525" t="s">
        <v>224</v>
      </c>
      <c r="AB525" t="s">
        <v>234</v>
      </c>
      <c r="AC525">
        <v>3</v>
      </c>
      <c r="AD525">
        <v>0</v>
      </c>
      <c r="AE525">
        <v>0</v>
      </c>
      <c r="AF525">
        <v>0</v>
      </c>
      <c r="AG525">
        <v>1</v>
      </c>
      <c r="AH525">
        <v>1</v>
      </c>
      <c r="AI525">
        <v>1</v>
      </c>
      <c r="AJ525" t="s">
        <v>1651</v>
      </c>
      <c r="AK525" t="s">
        <v>269</v>
      </c>
      <c r="AL525" t="s">
        <v>270</v>
      </c>
      <c r="AM525" t="str">
        <f t="shared" si="25"/>
        <v>2020-2027</v>
      </c>
      <c r="AN525">
        <f t="shared" si="26"/>
        <v>7</v>
      </c>
    </row>
    <row r="526" spans="1:40" x14ac:dyDescent="0.2">
      <c r="A526">
        <v>525</v>
      </c>
      <c r="B526" t="s">
        <v>1652</v>
      </c>
      <c r="C526" t="s">
        <v>1718</v>
      </c>
      <c r="D526" t="s">
        <v>60</v>
      </c>
      <c r="E526" t="s">
        <v>68</v>
      </c>
      <c r="F526" t="s">
        <v>1655</v>
      </c>
      <c r="G526">
        <v>67</v>
      </c>
      <c r="H526">
        <v>35.185212610000001</v>
      </c>
      <c r="I526" t="s">
        <v>1654</v>
      </c>
      <c r="J526">
        <v>38</v>
      </c>
      <c r="K526">
        <v>16.517513309999998</v>
      </c>
      <c r="L526">
        <v>6</v>
      </c>
      <c r="M526" t="s">
        <v>119</v>
      </c>
      <c r="N526">
        <v>4</v>
      </c>
      <c r="O526">
        <v>79</v>
      </c>
      <c r="P526">
        <v>151</v>
      </c>
      <c r="Q526">
        <v>229</v>
      </c>
      <c r="R526" t="s">
        <v>1649</v>
      </c>
      <c r="S526" s="3" t="s">
        <v>90</v>
      </c>
      <c r="T526" s="3">
        <f t="shared" si="24"/>
        <v>1</v>
      </c>
      <c r="U526" t="s">
        <v>96</v>
      </c>
      <c r="V526" t="s">
        <v>142</v>
      </c>
      <c r="W526" t="s">
        <v>148</v>
      </c>
      <c r="X526">
        <v>0</v>
      </c>
      <c r="Y526" t="s">
        <v>143</v>
      </c>
      <c r="Z526" t="s">
        <v>144</v>
      </c>
      <c r="AA526" t="s">
        <v>224</v>
      </c>
      <c r="AB526" t="s">
        <v>234</v>
      </c>
      <c r="AC526">
        <v>1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 t="s">
        <v>1653</v>
      </c>
      <c r="AK526" t="s">
        <v>202</v>
      </c>
      <c r="AL526" t="s">
        <v>203</v>
      </c>
      <c r="AM526" t="str">
        <f t="shared" si="25"/>
        <v>2018-2020</v>
      </c>
      <c r="AN526">
        <f t="shared" si="26"/>
        <v>2</v>
      </c>
    </row>
    <row r="527" spans="1:40" x14ac:dyDescent="0.2">
      <c r="A527">
        <v>526</v>
      </c>
      <c r="B527" t="s">
        <v>1656</v>
      </c>
      <c r="C527" t="s">
        <v>1717</v>
      </c>
      <c r="D527" t="s">
        <v>186</v>
      </c>
      <c r="E527" t="s">
        <v>98</v>
      </c>
      <c r="F527" t="s">
        <v>99</v>
      </c>
      <c r="G527">
        <v>41</v>
      </c>
      <c r="H527">
        <v>14.30707112</v>
      </c>
      <c r="I527" t="s">
        <v>88</v>
      </c>
      <c r="J527">
        <v>56</v>
      </c>
      <c r="K527">
        <v>30.953468139999998</v>
      </c>
      <c r="L527">
        <v>7</v>
      </c>
      <c r="M527" t="s">
        <v>119</v>
      </c>
      <c r="N527">
        <v>0</v>
      </c>
      <c r="O527">
        <v>72</v>
      </c>
      <c r="P527">
        <v>122</v>
      </c>
      <c r="Q527">
        <v>229</v>
      </c>
      <c r="R527" t="s">
        <v>1649</v>
      </c>
      <c r="S527" s="3" t="s">
        <v>90</v>
      </c>
      <c r="T527" s="3">
        <f t="shared" si="24"/>
        <v>1</v>
      </c>
      <c r="U527" t="s">
        <v>96</v>
      </c>
      <c r="V527" t="s">
        <v>142</v>
      </c>
      <c r="W527" t="s">
        <v>148</v>
      </c>
      <c r="X527">
        <v>0</v>
      </c>
      <c r="Y527" t="s">
        <v>143</v>
      </c>
      <c r="Z527" t="s">
        <v>144</v>
      </c>
      <c r="AA527" t="s">
        <v>224</v>
      </c>
      <c r="AB527" t="s">
        <v>234</v>
      </c>
      <c r="AC527">
        <v>2</v>
      </c>
      <c r="AD527">
        <v>0</v>
      </c>
      <c r="AE527">
        <v>0</v>
      </c>
      <c r="AF527">
        <v>1</v>
      </c>
      <c r="AG527">
        <v>0</v>
      </c>
      <c r="AH527">
        <v>1</v>
      </c>
      <c r="AI527">
        <v>0</v>
      </c>
      <c r="AJ527" t="s">
        <v>1657</v>
      </c>
      <c r="AK527" t="s">
        <v>1453</v>
      </c>
      <c r="AL527" t="s">
        <v>1454</v>
      </c>
      <c r="AM527" t="str">
        <f t="shared" si="25"/>
        <v>2018-2024</v>
      </c>
      <c r="AN527">
        <f t="shared" si="26"/>
        <v>6</v>
      </c>
    </row>
    <row r="528" spans="1:40" x14ac:dyDescent="0.2">
      <c r="A528">
        <v>527</v>
      </c>
      <c r="B528" t="s">
        <v>1658</v>
      </c>
      <c r="C528" t="s">
        <v>1718</v>
      </c>
      <c r="D528" t="s">
        <v>60</v>
      </c>
      <c r="E528" t="s">
        <v>68</v>
      </c>
      <c r="F528" t="s">
        <v>1655</v>
      </c>
      <c r="G528">
        <v>105</v>
      </c>
      <c r="H528">
        <v>59.432484280000033</v>
      </c>
      <c r="I528" t="s">
        <v>1654</v>
      </c>
      <c r="J528">
        <v>40</v>
      </c>
      <c r="K528">
        <v>17.566746009999999</v>
      </c>
      <c r="L528">
        <v>13</v>
      </c>
      <c r="M528" t="s">
        <v>67</v>
      </c>
      <c r="N528">
        <v>15</v>
      </c>
      <c r="O528">
        <v>109</v>
      </c>
      <c r="P528">
        <v>611</v>
      </c>
      <c r="Q528">
        <v>229</v>
      </c>
      <c r="R528" t="s">
        <v>1649</v>
      </c>
      <c r="S528" s="3" t="s">
        <v>90</v>
      </c>
      <c r="T528" s="3">
        <f t="shared" si="24"/>
        <v>1</v>
      </c>
      <c r="U528" t="s">
        <v>96</v>
      </c>
      <c r="V528" t="s">
        <v>142</v>
      </c>
      <c r="W528" t="s">
        <v>148</v>
      </c>
      <c r="X528">
        <v>0</v>
      </c>
      <c r="Y528" t="s">
        <v>143</v>
      </c>
      <c r="Z528" t="s">
        <v>144</v>
      </c>
      <c r="AA528" t="s">
        <v>224</v>
      </c>
      <c r="AB528" t="s">
        <v>234</v>
      </c>
      <c r="AC528">
        <v>2</v>
      </c>
      <c r="AD528">
        <v>1</v>
      </c>
      <c r="AE528">
        <v>1</v>
      </c>
      <c r="AF528">
        <v>0</v>
      </c>
      <c r="AG528">
        <v>0</v>
      </c>
      <c r="AH528">
        <v>0</v>
      </c>
      <c r="AI528">
        <v>0</v>
      </c>
      <c r="AJ528" t="s">
        <v>1659</v>
      </c>
      <c r="AK528" t="s">
        <v>82</v>
      </c>
      <c r="AL528" t="s">
        <v>83</v>
      </c>
      <c r="AM528" t="str">
        <f t="shared" si="25"/>
        <v>2014-2016</v>
      </c>
      <c r="AN528">
        <f t="shared" si="26"/>
        <v>2</v>
      </c>
    </row>
    <row r="529" spans="1:40" x14ac:dyDescent="0.2">
      <c r="A529">
        <v>528</v>
      </c>
      <c r="B529" t="s">
        <v>1660</v>
      </c>
      <c r="C529" t="s">
        <v>1718</v>
      </c>
      <c r="D529" t="s">
        <v>186</v>
      </c>
      <c r="E529" t="s">
        <v>98</v>
      </c>
      <c r="F529" t="s">
        <v>99</v>
      </c>
      <c r="G529">
        <v>50</v>
      </c>
      <c r="H529">
        <v>19.700446720000009</v>
      </c>
      <c r="I529" t="s">
        <v>88</v>
      </c>
      <c r="J529">
        <v>49</v>
      </c>
      <c r="K529">
        <v>26.147958110000008</v>
      </c>
      <c r="L529">
        <v>5</v>
      </c>
      <c r="M529" t="s">
        <v>119</v>
      </c>
      <c r="N529">
        <v>2</v>
      </c>
      <c r="O529">
        <v>73</v>
      </c>
      <c r="P529">
        <v>95</v>
      </c>
      <c r="Q529">
        <v>230</v>
      </c>
      <c r="R529" t="s">
        <v>1662</v>
      </c>
      <c r="S529" s="3" t="s">
        <v>141</v>
      </c>
      <c r="T529" s="3">
        <f t="shared" si="24"/>
        <v>1</v>
      </c>
      <c r="U529" t="s">
        <v>149</v>
      </c>
      <c r="V529" t="s">
        <v>142</v>
      </c>
      <c r="W529" t="s">
        <v>148</v>
      </c>
      <c r="X529">
        <v>0</v>
      </c>
      <c r="Y529" t="s">
        <v>143</v>
      </c>
      <c r="Z529" t="s">
        <v>144</v>
      </c>
      <c r="AA529" t="s">
        <v>224</v>
      </c>
      <c r="AB529" t="s">
        <v>234</v>
      </c>
      <c r="AC529">
        <v>2</v>
      </c>
      <c r="AD529">
        <v>0</v>
      </c>
      <c r="AE529">
        <v>0</v>
      </c>
      <c r="AF529">
        <v>0</v>
      </c>
      <c r="AG529">
        <v>1</v>
      </c>
      <c r="AH529">
        <v>1</v>
      </c>
      <c r="AI529">
        <v>0</v>
      </c>
      <c r="AJ529" t="s">
        <v>1661</v>
      </c>
      <c r="AK529" t="s">
        <v>213</v>
      </c>
      <c r="AL529" t="s">
        <v>214</v>
      </c>
      <c r="AM529" t="str">
        <f t="shared" si="25"/>
        <v>2020-2024</v>
      </c>
      <c r="AN529">
        <f t="shared" si="26"/>
        <v>4</v>
      </c>
    </row>
    <row r="530" spans="1:40" x14ac:dyDescent="0.2">
      <c r="A530">
        <v>529</v>
      </c>
      <c r="B530" t="s">
        <v>1663</v>
      </c>
      <c r="C530" t="s">
        <v>1717</v>
      </c>
      <c r="D530" t="s">
        <v>227</v>
      </c>
      <c r="E530" t="s">
        <v>227</v>
      </c>
      <c r="F530" t="s">
        <v>227</v>
      </c>
      <c r="I530" t="s">
        <v>226</v>
      </c>
      <c r="M530" t="s">
        <v>226</v>
      </c>
      <c r="Q530">
        <v>230</v>
      </c>
      <c r="R530" t="s">
        <v>1662</v>
      </c>
      <c r="S530" s="3" t="s">
        <v>141</v>
      </c>
      <c r="T530" s="3">
        <f t="shared" si="24"/>
        <v>1</v>
      </c>
      <c r="U530" t="s">
        <v>149</v>
      </c>
      <c r="V530" t="s">
        <v>142</v>
      </c>
      <c r="W530" t="s">
        <v>148</v>
      </c>
      <c r="X530">
        <v>0</v>
      </c>
      <c r="Y530" t="s">
        <v>143</v>
      </c>
      <c r="Z530" t="s">
        <v>144</v>
      </c>
      <c r="AA530" t="s">
        <v>224</v>
      </c>
      <c r="AB530" t="s">
        <v>234</v>
      </c>
      <c r="AC530">
        <v>3</v>
      </c>
      <c r="AD530">
        <v>1</v>
      </c>
      <c r="AE530">
        <v>1</v>
      </c>
      <c r="AF530">
        <v>1</v>
      </c>
      <c r="AG530">
        <v>0</v>
      </c>
      <c r="AH530">
        <v>0</v>
      </c>
      <c r="AI530">
        <v>0</v>
      </c>
      <c r="AJ530" s="4" t="s">
        <v>226</v>
      </c>
      <c r="AK530" t="s">
        <v>109</v>
      </c>
      <c r="AL530" t="s">
        <v>110</v>
      </c>
      <c r="AM530" t="str">
        <f t="shared" si="25"/>
        <v>2014-2020</v>
      </c>
      <c r="AN530">
        <f t="shared" si="26"/>
        <v>6</v>
      </c>
    </row>
    <row r="531" spans="1:40" x14ac:dyDescent="0.2">
      <c r="A531">
        <v>530</v>
      </c>
      <c r="B531" t="s">
        <v>1664</v>
      </c>
      <c r="C531" t="s">
        <v>1717</v>
      </c>
      <c r="D531" t="s">
        <v>114</v>
      </c>
      <c r="E531" t="s">
        <v>98</v>
      </c>
      <c r="F531" t="s">
        <v>99</v>
      </c>
      <c r="G531">
        <v>26</v>
      </c>
      <c r="H531">
        <v>13.926335379999999</v>
      </c>
      <c r="I531" t="s">
        <v>88</v>
      </c>
      <c r="J531">
        <v>21</v>
      </c>
      <c r="K531">
        <v>10.61466098</v>
      </c>
      <c r="L531">
        <v>10</v>
      </c>
      <c r="M531" t="s">
        <v>119</v>
      </c>
      <c r="N531">
        <v>10</v>
      </c>
      <c r="O531">
        <v>66</v>
      </c>
      <c r="P531">
        <v>680</v>
      </c>
      <c r="Q531">
        <v>230</v>
      </c>
      <c r="R531" t="s">
        <v>1662</v>
      </c>
      <c r="S531" s="3" t="s">
        <v>141</v>
      </c>
      <c r="T531" s="3">
        <f t="shared" si="24"/>
        <v>1</v>
      </c>
      <c r="U531" t="s">
        <v>149</v>
      </c>
      <c r="V531" t="s">
        <v>142</v>
      </c>
      <c r="W531" t="s">
        <v>148</v>
      </c>
      <c r="X531">
        <v>0</v>
      </c>
      <c r="Y531" t="s">
        <v>143</v>
      </c>
      <c r="Z531" t="s">
        <v>144</v>
      </c>
      <c r="AA531" t="s">
        <v>224</v>
      </c>
      <c r="AB531" t="s">
        <v>234</v>
      </c>
      <c r="AC531">
        <v>1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</v>
      </c>
      <c r="AJ531" t="s">
        <v>1665</v>
      </c>
      <c r="AK531" t="s">
        <v>65</v>
      </c>
      <c r="AL531" t="s">
        <v>66</v>
      </c>
      <c r="AM531" t="str">
        <f t="shared" si="25"/>
        <v>2024-2027</v>
      </c>
      <c r="AN531">
        <f t="shared" si="26"/>
        <v>3</v>
      </c>
    </row>
    <row r="532" spans="1:40" x14ac:dyDescent="0.2">
      <c r="A532">
        <v>531</v>
      </c>
      <c r="B532" t="s">
        <v>1666</v>
      </c>
      <c r="C532" t="s">
        <v>1718</v>
      </c>
      <c r="D532" t="s">
        <v>285</v>
      </c>
      <c r="E532" t="s">
        <v>98</v>
      </c>
      <c r="F532" t="s">
        <v>99</v>
      </c>
      <c r="G532">
        <v>43</v>
      </c>
      <c r="H532">
        <v>22.906900279999999</v>
      </c>
      <c r="I532" t="s">
        <v>88</v>
      </c>
      <c r="J532">
        <v>31</v>
      </c>
      <c r="K532">
        <v>14.93558063</v>
      </c>
      <c r="L532">
        <v>10</v>
      </c>
      <c r="M532" t="s">
        <v>119</v>
      </c>
      <c r="N532">
        <v>12</v>
      </c>
      <c r="O532">
        <v>54</v>
      </c>
      <c r="P532">
        <v>397</v>
      </c>
      <c r="Q532">
        <v>231</v>
      </c>
      <c r="R532" t="s">
        <v>1668</v>
      </c>
      <c r="S532" s="3" t="s">
        <v>141</v>
      </c>
      <c r="T532" s="3">
        <f t="shared" si="24"/>
        <v>1</v>
      </c>
      <c r="U532" t="s">
        <v>149</v>
      </c>
      <c r="V532" t="s">
        <v>142</v>
      </c>
      <c r="W532" t="s">
        <v>148</v>
      </c>
      <c r="X532">
        <v>0</v>
      </c>
      <c r="Y532" t="s">
        <v>143</v>
      </c>
      <c r="Z532" t="s">
        <v>144</v>
      </c>
      <c r="AA532" t="s">
        <v>43</v>
      </c>
      <c r="AB532" t="s">
        <v>81</v>
      </c>
      <c r="AC532">
        <v>1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 t="s">
        <v>1667</v>
      </c>
      <c r="AK532" t="s">
        <v>320</v>
      </c>
      <c r="AL532" t="s">
        <v>321</v>
      </c>
      <c r="AM532" t="str">
        <f t="shared" si="25"/>
        <v>2016-2018</v>
      </c>
      <c r="AN532">
        <f t="shared" si="26"/>
        <v>2</v>
      </c>
    </row>
    <row r="533" spans="1:40" x14ac:dyDescent="0.2">
      <c r="A533">
        <v>532</v>
      </c>
      <c r="B533" t="s">
        <v>1669</v>
      </c>
      <c r="C533" t="s">
        <v>1717</v>
      </c>
      <c r="D533" t="s">
        <v>114</v>
      </c>
      <c r="E533" t="s">
        <v>50</v>
      </c>
      <c r="F533" t="s">
        <v>120</v>
      </c>
      <c r="G533">
        <v>12</v>
      </c>
      <c r="H533">
        <v>9.5043373800000026</v>
      </c>
      <c r="I533" t="s">
        <v>115</v>
      </c>
      <c r="J533">
        <v>9</v>
      </c>
      <c r="K533">
        <v>0.96514084999999994</v>
      </c>
      <c r="L533">
        <v>10</v>
      </c>
      <c r="M533" t="s">
        <v>119</v>
      </c>
      <c r="N533">
        <v>10</v>
      </c>
      <c r="O533">
        <v>19</v>
      </c>
      <c r="P533">
        <v>367</v>
      </c>
      <c r="Q533">
        <v>231</v>
      </c>
      <c r="R533" t="s">
        <v>1668</v>
      </c>
      <c r="S533" s="3" t="s">
        <v>141</v>
      </c>
      <c r="T533" s="3">
        <f t="shared" si="24"/>
        <v>1</v>
      </c>
      <c r="U533" t="s">
        <v>149</v>
      </c>
      <c r="V533" t="s">
        <v>142</v>
      </c>
      <c r="W533" t="s">
        <v>148</v>
      </c>
      <c r="X533">
        <v>0</v>
      </c>
      <c r="Y533" t="s">
        <v>143</v>
      </c>
      <c r="Z533" t="s">
        <v>144</v>
      </c>
      <c r="AA533" t="s">
        <v>43</v>
      </c>
      <c r="AB533" t="s">
        <v>81</v>
      </c>
      <c r="AC533">
        <v>4</v>
      </c>
      <c r="AD533">
        <v>0</v>
      </c>
      <c r="AE533">
        <v>0</v>
      </c>
      <c r="AF533">
        <v>1</v>
      </c>
      <c r="AG533">
        <v>1</v>
      </c>
      <c r="AH533">
        <v>1</v>
      </c>
      <c r="AI533">
        <v>1</v>
      </c>
      <c r="AJ533" t="s">
        <v>1670</v>
      </c>
      <c r="AK533" t="s">
        <v>146</v>
      </c>
      <c r="AL533" t="s">
        <v>147</v>
      </c>
      <c r="AM533" t="str">
        <f t="shared" si="25"/>
        <v>2018-2027</v>
      </c>
      <c r="AN533">
        <f t="shared" si="26"/>
        <v>9</v>
      </c>
    </row>
    <row r="534" spans="1:40" x14ac:dyDescent="0.2">
      <c r="A534">
        <v>533</v>
      </c>
      <c r="B534" t="s">
        <v>1671</v>
      </c>
      <c r="C534" t="s">
        <v>1717</v>
      </c>
      <c r="D534" t="s">
        <v>102</v>
      </c>
      <c r="E534" t="s">
        <v>98</v>
      </c>
      <c r="F534" t="s">
        <v>99</v>
      </c>
      <c r="G534">
        <v>72</v>
      </c>
      <c r="H534">
        <v>14.086441862999999</v>
      </c>
      <c r="I534" t="s">
        <v>88</v>
      </c>
      <c r="J534">
        <v>59</v>
      </c>
      <c r="K534">
        <v>30.091440085999981</v>
      </c>
      <c r="L534">
        <v>17</v>
      </c>
      <c r="M534" t="s">
        <v>67</v>
      </c>
      <c r="N534">
        <v>26</v>
      </c>
      <c r="O534">
        <v>158</v>
      </c>
      <c r="P534">
        <v>1023</v>
      </c>
      <c r="Q534">
        <v>232</v>
      </c>
      <c r="R534" t="s">
        <v>1673</v>
      </c>
      <c r="S534" s="3" t="s">
        <v>90</v>
      </c>
      <c r="T534" s="3">
        <f t="shared" si="24"/>
        <v>1</v>
      </c>
      <c r="U534" t="s">
        <v>96</v>
      </c>
      <c r="V534" t="s">
        <v>142</v>
      </c>
      <c r="W534" t="s">
        <v>95</v>
      </c>
      <c r="X534">
        <v>0</v>
      </c>
      <c r="Y534" t="s">
        <v>41</v>
      </c>
      <c r="Z534" t="s">
        <v>92</v>
      </c>
      <c r="AA534" t="s">
        <v>224</v>
      </c>
      <c r="AB534" t="s">
        <v>225</v>
      </c>
      <c r="AC534">
        <v>4</v>
      </c>
      <c r="AD534">
        <v>0</v>
      </c>
      <c r="AE534">
        <v>0</v>
      </c>
      <c r="AF534">
        <v>1</v>
      </c>
      <c r="AG534">
        <v>1</v>
      </c>
      <c r="AH534">
        <v>1</v>
      </c>
      <c r="AI534">
        <v>1</v>
      </c>
      <c r="AJ534" t="s">
        <v>1672</v>
      </c>
      <c r="AK534" t="s">
        <v>146</v>
      </c>
      <c r="AL534" t="s">
        <v>147</v>
      </c>
      <c r="AM534" t="str">
        <f t="shared" si="25"/>
        <v>2018-2027</v>
      </c>
      <c r="AN534">
        <f t="shared" si="26"/>
        <v>9</v>
      </c>
    </row>
    <row r="535" spans="1:40" x14ac:dyDescent="0.2">
      <c r="A535">
        <v>534</v>
      </c>
      <c r="B535" t="s">
        <v>1674</v>
      </c>
      <c r="C535" t="s">
        <v>1717</v>
      </c>
      <c r="D535" t="s">
        <v>248</v>
      </c>
      <c r="E535" t="s">
        <v>68</v>
      </c>
      <c r="F535" t="s">
        <v>1677</v>
      </c>
      <c r="G535">
        <v>1</v>
      </c>
      <c r="H535">
        <v>0.52063700000000002</v>
      </c>
      <c r="I535" t="s">
        <v>1676</v>
      </c>
      <c r="J535">
        <v>1</v>
      </c>
      <c r="K535">
        <v>0.7972262</v>
      </c>
      <c r="L535">
        <v>1</v>
      </c>
      <c r="M535" t="s">
        <v>137</v>
      </c>
      <c r="N535">
        <v>1</v>
      </c>
      <c r="O535">
        <v>1</v>
      </c>
      <c r="P535">
        <v>14</v>
      </c>
      <c r="Q535">
        <v>232</v>
      </c>
      <c r="R535" t="s">
        <v>1673</v>
      </c>
      <c r="S535" s="3" t="s">
        <v>90</v>
      </c>
      <c r="T535" s="3">
        <f t="shared" si="24"/>
        <v>1</v>
      </c>
      <c r="U535" t="s">
        <v>96</v>
      </c>
      <c r="V535" t="s">
        <v>142</v>
      </c>
      <c r="W535" t="s">
        <v>95</v>
      </c>
      <c r="X535">
        <v>0</v>
      </c>
      <c r="Y535" t="s">
        <v>41</v>
      </c>
      <c r="Z535" t="s">
        <v>92</v>
      </c>
      <c r="AA535" t="s">
        <v>224</v>
      </c>
      <c r="AB535" t="s">
        <v>225</v>
      </c>
      <c r="AC535">
        <v>3</v>
      </c>
      <c r="AD535">
        <v>0</v>
      </c>
      <c r="AE535">
        <v>0</v>
      </c>
      <c r="AF535">
        <v>0</v>
      </c>
      <c r="AG535">
        <v>1</v>
      </c>
      <c r="AH535">
        <v>1</v>
      </c>
      <c r="AI535">
        <v>1</v>
      </c>
      <c r="AJ535" t="s">
        <v>1675</v>
      </c>
      <c r="AK535" t="s">
        <v>269</v>
      </c>
      <c r="AL535" t="s">
        <v>270</v>
      </c>
      <c r="AM535" t="str">
        <f t="shared" si="25"/>
        <v>2020-2027</v>
      </c>
      <c r="AN535">
        <f t="shared" si="26"/>
        <v>7</v>
      </c>
    </row>
    <row r="536" spans="1:40" x14ac:dyDescent="0.2">
      <c r="A536">
        <v>535</v>
      </c>
      <c r="B536" t="s">
        <v>1678</v>
      </c>
      <c r="C536" t="s">
        <v>1717</v>
      </c>
      <c r="D536" t="s">
        <v>60</v>
      </c>
      <c r="E536" t="s">
        <v>150</v>
      </c>
      <c r="F536" t="s">
        <v>151</v>
      </c>
      <c r="G536">
        <v>380</v>
      </c>
      <c r="H536">
        <v>289.15201038999999</v>
      </c>
      <c r="I536" t="s">
        <v>140</v>
      </c>
      <c r="J536">
        <v>298</v>
      </c>
      <c r="K536">
        <v>99.504038233000017</v>
      </c>
      <c r="L536">
        <v>52</v>
      </c>
      <c r="M536" t="s">
        <v>49</v>
      </c>
      <c r="N536">
        <v>130</v>
      </c>
      <c r="O536">
        <v>387</v>
      </c>
      <c r="P536">
        <v>17860</v>
      </c>
      <c r="Q536">
        <v>232</v>
      </c>
      <c r="R536" t="s">
        <v>1673</v>
      </c>
      <c r="S536" s="3" t="s">
        <v>90</v>
      </c>
      <c r="T536" s="3">
        <f t="shared" si="24"/>
        <v>1</v>
      </c>
      <c r="U536" t="s">
        <v>96</v>
      </c>
      <c r="V536" t="s">
        <v>142</v>
      </c>
      <c r="W536" t="s">
        <v>95</v>
      </c>
      <c r="X536">
        <v>0</v>
      </c>
      <c r="Y536" t="s">
        <v>41</v>
      </c>
      <c r="Z536" t="s">
        <v>92</v>
      </c>
      <c r="AA536" t="s">
        <v>224</v>
      </c>
      <c r="AB536" t="s">
        <v>225</v>
      </c>
      <c r="AC536">
        <v>2</v>
      </c>
      <c r="AD536">
        <v>0</v>
      </c>
      <c r="AE536">
        <v>1</v>
      </c>
      <c r="AF536">
        <v>1</v>
      </c>
      <c r="AG536">
        <v>0</v>
      </c>
      <c r="AH536">
        <v>0</v>
      </c>
      <c r="AI536">
        <v>0</v>
      </c>
      <c r="AJ536" t="s">
        <v>1679</v>
      </c>
      <c r="AK536" t="s">
        <v>156</v>
      </c>
      <c r="AL536" t="s">
        <v>157</v>
      </c>
      <c r="AM536" t="str">
        <f t="shared" si="25"/>
        <v>2016-2020</v>
      </c>
      <c r="AN536">
        <f t="shared" si="26"/>
        <v>4</v>
      </c>
    </row>
    <row r="537" spans="1:40" x14ac:dyDescent="0.2">
      <c r="A537">
        <v>536</v>
      </c>
      <c r="B537" t="s">
        <v>1680</v>
      </c>
      <c r="C537" t="s">
        <v>1717</v>
      </c>
      <c r="D537" t="s">
        <v>123</v>
      </c>
      <c r="E537" t="s">
        <v>68</v>
      </c>
      <c r="F537" t="s">
        <v>509</v>
      </c>
      <c r="G537">
        <v>59</v>
      </c>
      <c r="H537">
        <v>29.942368470000002</v>
      </c>
      <c r="I537" t="s">
        <v>507</v>
      </c>
      <c r="J537">
        <v>32</v>
      </c>
      <c r="K537">
        <v>12.75869368</v>
      </c>
      <c r="L537">
        <v>19</v>
      </c>
      <c r="M537" t="s">
        <v>67</v>
      </c>
      <c r="N537">
        <v>29</v>
      </c>
      <c r="O537">
        <v>101</v>
      </c>
      <c r="P537">
        <v>1268</v>
      </c>
      <c r="Q537">
        <v>232</v>
      </c>
      <c r="R537" t="s">
        <v>1673</v>
      </c>
      <c r="S537" s="3" t="s">
        <v>90</v>
      </c>
      <c r="T537" s="3">
        <f t="shared" si="24"/>
        <v>1</v>
      </c>
      <c r="U537" t="s">
        <v>96</v>
      </c>
      <c r="V537" t="s">
        <v>142</v>
      </c>
      <c r="W537" t="s">
        <v>95</v>
      </c>
      <c r="X537">
        <v>0</v>
      </c>
      <c r="Y537" t="s">
        <v>41</v>
      </c>
      <c r="Z537" t="s">
        <v>92</v>
      </c>
      <c r="AA537" t="s">
        <v>224</v>
      </c>
      <c r="AB537" t="s">
        <v>225</v>
      </c>
      <c r="AC537">
        <v>2</v>
      </c>
      <c r="AD537">
        <v>1</v>
      </c>
      <c r="AE537">
        <v>1</v>
      </c>
      <c r="AF537">
        <v>0</v>
      </c>
      <c r="AG537">
        <v>0</v>
      </c>
      <c r="AH537">
        <v>0</v>
      </c>
      <c r="AI537">
        <v>0</v>
      </c>
      <c r="AJ537" t="s">
        <v>1681</v>
      </c>
      <c r="AK537" t="s">
        <v>74</v>
      </c>
      <c r="AL537" t="s">
        <v>75</v>
      </c>
      <c r="AM537" t="str">
        <f t="shared" si="25"/>
        <v>2014-2018</v>
      </c>
      <c r="AN537">
        <f t="shared" si="26"/>
        <v>4</v>
      </c>
    </row>
    <row r="538" spans="1:40" x14ac:dyDescent="0.2">
      <c r="A538">
        <v>537</v>
      </c>
      <c r="B538" t="s">
        <v>1682</v>
      </c>
      <c r="C538" t="s">
        <v>1718</v>
      </c>
      <c r="D538" t="s">
        <v>60</v>
      </c>
      <c r="E538" t="s">
        <v>150</v>
      </c>
      <c r="F538" t="s">
        <v>961</v>
      </c>
      <c r="G538">
        <v>9</v>
      </c>
      <c r="H538">
        <v>3.4021627200000002</v>
      </c>
      <c r="I538" t="s">
        <v>960</v>
      </c>
      <c r="J538">
        <v>6</v>
      </c>
      <c r="K538">
        <v>2.6157771400000001</v>
      </c>
      <c r="L538">
        <v>6</v>
      </c>
      <c r="M538" t="s">
        <v>119</v>
      </c>
      <c r="N538">
        <v>4</v>
      </c>
      <c r="O538">
        <v>13</v>
      </c>
      <c r="P538">
        <v>195</v>
      </c>
      <c r="Q538">
        <v>233</v>
      </c>
      <c r="R538" t="s">
        <v>1686</v>
      </c>
      <c r="S538" s="3" t="s">
        <v>141</v>
      </c>
      <c r="T538" s="3">
        <f t="shared" si="24"/>
        <v>1</v>
      </c>
      <c r="U538" t="s">
        <v>149</v>
      </c>
      <c r="V538" t="s">
        <v>142</v>
      </c>
      <c r="W538" t="s">
        <v>195</v>
      </c>
      <c r="X538">
        <v>0</v>
      </c>
      <c r="Y538" t="s">
        <v>143</v>
      </c>
      <c r="Z538" t="s">
        <v>190</v>
      </c>
      <c r="AA538" t="s">
        <v>63</v>
      </c>
      <c r="AB538" t="s">
        <v>337</v>
      </c>
      <c r="AC538">
        <v>3</v>
      </c>
      <c r="AD538">
        <v>0</v>
      </c>
      <c r="AE538">
        <v>0</v>
      </c>
      <c r="AF538">
        <v>1</v>
      </c>
      <c r="AG538">
        <v>0</v>
      </c>
      <c r="AH538">
        <v>1</v>
      </c>
      <c r="AI538">
        <v>1</v>
      </c>
      <c r="AJ538" t="s">
        <v>1683</v>
      </c>
      <c r="AK538" t="s">
        <v>1684</v>
      </c>
      <c r="AL538" t="s">
        <v>1685</v>
      </c>
      <c r="AM538" t="str">
        <f t="shared" si="25"/>
        <v>2018-2027</v>
      </c>
      <c r="AN538">
        <f t="shared" si="26"/>
        <v>9</v>
      </c>
    </row>
    <row r="539" spans="1:40" x14ac:dyDescent="0.2">
      <c r="A539">
        <v>538</v>
      </c>
      <c r="B539" t="s">
        <v>1687</v>
      </c>
      <c r="C539" t="s">
        <v>1717</v>
      </c>
      <c r="D539" t="s">
        <v>248</v>
      </c>
      <c r="E539" t="s">
        <v>98</v>
      </c>
      <c r="F539" t="s">
        <v>99</v>
      </c>
      <c r="G539">
        <v>76</v>
      </c>
      <c r="H539">
        <v>36.070103910000007</v>
      </c>
      <c r="I539" t="s">
        <v>88</v>
      </c>
      <c r="J539">
        <v>60</v>
      </c>
      <c r="K539">
        <v>29.603360639999998</v>
      </c>
      <c r="L539">
        <v>5</v>
      </c>
      <c r="M539" t="s">
        <v>119</v>
      </c>
      <c r="N539">
        <v>2</v>
      </c>
      <c r="O539">
        <v>119</v>
      </c>
      <c r="P539">
        <v>128</v>
      </c>
      <c r="Q539">
        <v>234</v>
      </c>
      <c r="R539" t="s">
        <v>1689</v>
      </c>
      <c r="S539" s="3" t="s">
        <v>141</v>
      </c>
      <c r="T539" s="3">
        <f t="shared" si="24"/>
        <v>1</v>
      </c>
      <c r="U539" t="s">
        <v>149</v>
      </c>
      <c r="V539" t="s">
        <v>142</v>
      </c>
      <c r="W539" t="s">
        <v>195</v>
      </c>
      <c r="X539">
        <v>0</v>
      </c>
      <c r="Y539" t="s">
        <v>143</v>
      </c>
      <c r="Z539" t="s">
        <v>190</v>
      </c>
      <c r="AA539" t="s">
        <v>43</v>
      </c>
      <c r="AB539" t="s">
        <v>81</v>
      </c>
      <c r="AC539">
        <v>1</v>
      </c>
      <c r="AD539">
        <v>0</v>
      </c>
      <c r="AE539">
        <v>0</v>
      </c>
      <c r="AF539">
        <v>1</v>
      </c>
      <c r="AG539">
        <v>0</v>
      </c>
      <c r="AH539">
        <v>0</v>
      </c>
      <c r="AI539">
        <v>0</v>
      </c>
      <c r="AJ539" t="s">
        <v>1688</v>
      </c>
      <c r="AK539" t="s">
        <v>202</v>
      </c>
      <c r="AL539" t="s">
        <v>203</v>
      </c>
      <c r="AM539" t="str">
        <f t="shared" si="25"/>
        <v>2018-2020</v>
      </c>
      <c r="AN539">
        <f t="shared" si="26"/>
        <v>2</v>
      </c>
    </row>
    <row r="540" spans="1:40" x14ac:dyDescent="0.2">
      <c r="A540">
        <v>539</v>
      </c>
      <c r="B540" t="s">
        <v>1690</v>
      </c>
      <c r="C540" t="s">
        <v>1717</v>
      </c>
      <c r="D540" t="s">
        <v>231</v>
      </c>
      <c r="E540" t="s">
        <v>98</v>
      </c>
      <c r="F540" t="s">
        <v>99</v>
      </c>
      <c r="G540">
        <v>3</v>
      </c>
      <c r="H540">
        <v>1.7091600600000001</v>
      </c>
      <c r="I540" t="s">
        <v>88</v>
      </c>
      <c r="J540">
        <v>4</v>
      </c>
      <c r="K540">
        <v>2.3001419799999998</v>
      </c>
      <c r="L540">
        <v>2</v>
      </c>
      <c r="M540" t="s">
        <v>97</v>
      </c>
      <c r="N540">
        <v>0</v>
      </c>
      <c r="O540">
        <v>7</v>
      </c>
      <c r="P540">
        <v>13</v>
      </c>
      <c r="Q540">
        <v>235</v>
      </c>
      <c r="R540" t="s">
        <v>1692</v>
      </c>
      <c r="S540" s="3" t="s">
        <v>90</v>
      </c>
      <c r="T540" s="3">
        <f t="shared" si="24"/>
        <v>1</v>
      </c>
      <c r="U540" t="s">
        <v>96</v>
      </c>
      <c r="V540" t="s">
        <v>142</v>
      </c>
      <c r="W540" t="s">
        <v>195</v>
      </c>
      <c r="X540">
        <v>0</v>
      </c>
      <c r="Y540" t="s">
        <v>143</v>
      </c>
      <c r="Z540" t="s">
        <v>190</v>
      </c>
      <c r="AA540" t="s">
        <v>43</v>
      </c>
      <c r="AB540" t="s">
        <v>44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 t="s">
        <v>1691</v>
      </c>
      <c r="AK540" t="s">
        <v>65</v>
      </c>
      <c r="AL540" t="s">
        <v>66</v>
      </c>
      <c r="AM540" t="str">
        <f t="shared" si="25"/>
        <v>2024-2027</v>
      </c>
      <c r="AN540">
        <f t="shared" si="26"/>
        <v>3</v>
      </c>
    </row>
    <row r="541" spans="1:40" x14ac:dyDescent="0.2">
      <c r="A541">
        <v>540</v>
      </c>
      <c r="B541" t="s">
        <v>1693</v>
      </c>
      <c r="C541" t="s">
        <v>1717</v>
      </c>
      <c r="D541" t="s">
        <v>114</v>
      </c>
      <c r="E541" t="s">
        <v>50</v>
      </c>
      <c r="F541" t="s">
        <v>76</v>
      </c>
      <c r="G541">
        <v>90</v>
      </c>
      <c r="H541">
        <v>46.55596022999999</v>
      </c>
      <c r="I541" t="s">
        <v>73</v>
      </c>
      <c r="J541">
        <v>72</v>
      </c>
      <c r="K541">
        <v>16.140129913999999</v>
      </c>
      <c r="L541">
        <v>26</v>
      </c>
      <c r="M541" t="s">
        <v>49</v>
      </c>
      <c r="N541">
        <v>42</v>
      </c>
      <c r="O541">
        <v>116</v>
      </c>
      <c r="P541">
        <v>3090</v>
      </c>
      <c r="Q541">
        <v>236</v>
      </c>
      <c r="R541" t="s">
        <v>1695</v>
      </c>
      <c r="S541" s="3" t="s">
        <v>90</v>
      </c>
      <c r="T541" s="3">
        <f t="shared" si="24"/>
        <v>1</v>
      </c>
      <c r="U541" t="s">
        <v>96</v>
      </c>
      <c r="V541" t="s">
        <v>142</v>
      </c>
      <c r="W541" t="s">
        <v>195</v>
      </c>
      <c r="X541">
        <v>0</v>
      </c>
      <c r="Y541" t="s">
        <v>143</v>
      </c>
      <c r="Z541" t="s">
        <v>190</v>
      </c>
      <c r="AA541" t="s">
        <v>43</v>
      </c>
      <c r="AB541" t="s">
        <v>201</v>
      </c>
      <c r="AC541">
        <v>1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 t="s">
        <v>1694</v>
      </c>
      <c r="AK541" t="s">
        <v>93</v>
      </c>
      <c r="AL541" t="s">
        <v>94</v>
      </c>
      <c r="AM541" t="str">
        <f t="shared" si="25"/>
        <v>2020-2021</v>
      </c>
      <c r="AN541">
        <f t="shared" si="26"/>
        <v>1</v>
      </c>
    </row>
    <row r="542" spans="1:40" x14ac:dyDescent="0.2">
      <c r="A542">
        <v>541</v>
      </c>
      <c r="B542" t="s">
        <v>1696</v>
      </c>
      <c r="C542" t="s">
        <v>1717</v>
      </c>
      <c r="D542" t="s">
        <v>72</v>
      </c>
      <c r="E542" t="s">
        <v>68</v>
      </c>
      <c r="F542" t="s">
        <v>386</v>
      </c>
      <c r="G542">
        <v>26</v>
      </c>
      <c r="H542">
        <v>10.094388090000001</v>
      </c>
      <c r="I542" t="s">
        <v>385</v>
      </c>
      <c r="J542">
        <v>21</v>
      </c>
      <c r="K542">
        <v>10.022842580000001</v>
      </c>
      <c r="L542">
        <v>9</v>
      </c>
      <c r="M542" t="s">
        <v>119</v>
      </c>
      <c r="N542">
        <v>8</v>
      </c>
      <c r="O542">
        <v>29</v>
      </c>
      <c r="P542">
        <v>488</v>
      </c>
      <c r="Q542">
        <v>236</v>
      </c>
      <c r="R542" t="s">
        <v>1695</v>
      </c>
      <c r="S542" s="3" t="s">
        <v>90</v>
      </c>
      <c r="T542" s="3">
        <f t="shared" si="24"/>
        <v>1</v>
      </c>
      <c r="U542" t="s">
        <v>96</v>
      </c>
      <c r="V542" t="s">
        <v>142</v>
      </c>
      <c r="W542" t="s">
        <v>195</v>
      </c>
      <c r="X542">
        <v>0</v>
      </c>
      <c r="Y542" t="s">
        <v>143</v>
      </c>
      <c r="Z542" t="s">
        <v>190</v>
      </c>
      <c r="AA542" t="s">
        <v>43</v>
      </c>
      <c r="AB542" t="s">
        <v>201</v>
      </c>
      <c r="AC542">
        <v>2</v>
      </c>
      <c r="AD542">
        <v>1</v>
      </c>
      <c r="AE542">
        <v>1</v>
      </c>
      <c r="AF542">
        <v>0</v>
      </c>
      <c r="AG542">
        <v>0</v>
      </c>
      <c r="AH542">
        <v>0</v>
      </c>
      <c r="AI542">
        <v>0</v>
      </c>
      <c r="AJ542" t="s">
        <v>1697</v>
      </c>
      <c r="AK542" t="s">
        <v>82</v>
      </c>
      <c r="AL542" t="s">
        <v>83</v>
      </c>
      <c r="AM542" t="str">
        <f t="shared" si="25"/>
        <v>2014-2016</v>
      </c>
      <c r="AN542">
        <f t="shared" si="26"/>
        <v>2</v>
      </c>
    </row>
  </sheetData>
  <autoFilter ref="A1:AL54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83ED-BF10-5442-A7CD-5A647EB7D683}">
  <dimension ref="A1:F52"/>
  <sheetViews>
    <sheetView topLeftCell="A14" workbookViewId="0">
      <selection activeCell="A50" sqref="A50"/>
    </sheetView>
  </sheetViews>
  <sheetFormatPr baseColWidth="10" defaultRowHeight="15" x14ac:dyDescent="0.2"/>
  <cols>
    <col min="1" max="1" width="22.1640625" bestFit="1" customWidth="1"/>
    <col min="2" max="2" width="13.33203125" bestFit="1" customWidth="1"/>
    <col min="3" max="3" width="54.1640625" bestFit="1" customWidth="1"/>
    <col min="4" max="4" width="34.33203125" bestFit="1" customWidth="1"/>
    <col min="5" max="5" width="38.33203125" bestFit="1" customWidth="1"/>
    <col min="6" max="6" width="67.6640625" bestFit="1" customWidth="1"/>
  </cols>
  <sheetData>
    <row r="1" spans="1:6" x14ac:dyDescent="0.2">
      <c r="A1" s="5" t="s">
        <v>1700</v>
      </c>
      <c r="B1" s="5" t="s">
        <v>1701</v>
      </c>
      <c r="C1" s="5" t="s">
        <v>1702</v>
      </c>
      <c r="D1" s="5" t="s">
        <v>1703</v>
      </c>
      <c r="E1" s="5" t="s">
        <v>1704</v>
      </c>
      <c r="F1" s="5" t="s">
        <v>1722</v>
      </c>
    </row>
    <row r="2" spans="1:6" x14ac:dyDescent="0.2">
      <c r="A2" s="5" t="s">
        <v>17</v>
      </c>
      <c r="B2" t="s">
        <v>1705</v>
      </c>
      <c r="C2" t="s">
        <v>1706</v>
      </c>
      <c r="D2" t="s">
        <v>1723</v>
      </c>
      <c r="E2" t="s">
        <v>1724</v>
      </c>
      <c r="F2" t="s">
        <v>1725</v>
      </c>
    </row>
    <row r="3" spans="1:6" x14ac:dyDescent="0.2">
      <c r="A3" s="5" t="s">
        <v>33</v>
      </c>
      <c r="B3" t="s">
        <v>1707</v>
      </c>
      <c r="C3" t="s">
        <v>1822</v>
      </c>
      <c r="D3" t="s">
        <v>1726</v>
      </c>
      <c r="E3" t="s">
        <v>1727</v>
      </c>
      <c r="F3" t="s">
        <v>1728</v>
      </c>
    </row>
    <row r="4" spans="1:6" x14ac:dyDescent="0.2">
      <c r="A4" s="5" t="s">
        <v>1716</v>
      </c>
      <c r="B4" t="s">
        <v>1707</v>
      </c>
      <c r="C4" t="s">
        <v>1729</v>
      </c>
      <c r="D4" t="s">
        <v>1730</v>
      </c>
      <c r="E4" t="s">
        <v>1731</v>
      </c>
      <c r="F4" t="s">
        <v>1732</v>
      </c>
    </row>
    <row r="5" spans="1:6" x14ac:dyDescent="0.2">
      <c r="A5" s="5" t="s">
        <v>1</v>
      </c>
      <c r="B5" t="s">
        <v>1707</v>
      </c>
      <c r="C5" t="s">
        <v>1708</v>
      </c>
      <c r="D5" t="s">
        <v>1733</v>
      </c>
      <c r="E5" t="s">
        <v>1734</v>
      </c>
      <c r="F5" t="s">
        <v>1728</v>
      </c>
    </row>
    <row r="6" spans="1:6" ht="16" x14ac:dyDescent="0.25">
      <c r="A6" s="5" t="s">
        <v>25</v>
      </c>
      <c r="B6" t="s">
        <v>1707</v>
      </c>
      <c r="C6" t="s">
        <v>1709</v>
      </c>
      <c r="D6" t="s">
        <v>1735</v>
      </c>
      <c r="E6" t="s">
        <v>1736</v>
      </c>
      <c r="F6" t="s">
        <v>1728</v>
      </c>
    </row>
    <row r="7" spans="1:6" x14ac:dyDescent="0.2">
      <c r="A7" s="5" t="s">
        <v>26</v>
      </c>
      <c r="B7" t="s">
        <v>1707</v>
      </c>
      <c r="C7" t="s">
        <v>1737</v>
      </c>
      <c r="D7" t="s">
        <v>1738</v>
      </c>
      <c r="E7" t="s">
        <v>1739</v>
      </c>
      <c r="F7" t="s">
        <v>1728</v>
      </c>
    </row>
    <row r="8" spans="1:6" x14ac:dyDescent="0.2">
      <c r="A8" s="5" t="s">
        <v>2</v>
      </c>
      <c r="B8" t="s">
        <v>1705</v>
      </c>
      <c r="C8" t="s">
        <v>1740</v>
      </c>
      <c r="D8" t="s">
        <v>1741</v>
      </c>
      <c r="E8" t="s">
        <v>1742</v>
      </c>
      <c r="F8" t="s">
        <v>1725</v>
      </c>
    </row>
    <row r="9" spans="1:6" x14ac:dyDescent="0.2">
      <c r="A9" s="5" t="s">
        <v>3</v>
      </c>
      <c r="B9" t="s">
        <v>1705</v>
      </c>
      <c r="C9" t="s">
        <v>1743</v>
      </c>
      <c r="D9" t="s">
        <v>1744</v>
      </c>
      <c r="E9" t="s">
        <v>1745</v>
      </c>
      <c r="F9" t="s">
        <v>1746</v>
      </c>
    </row>
    <row r="10" spans="1:6" ht="16" x14ac:dyDescent="0.25">
      <c r="A10" s="5" t="s">
        <v>4</v>
      </c>
      <c r="B10" t="s">
        <v>1707</v>
      </c>
      <c r="C10" t="s">
        <v>1747</v>
      </c>
      <c r="D10" t="s">
        <v>1733</v>
      </c>
      <c r="E10" t="s">
        <v>1748</v>
      </c>
      <c r="F10" t="s">
        <v>1728</v>
      </c>
    </row>
    <row r="11" spans="1:6" x14ac:dyDescent="0.2">
      <c r="A11" s="5" t="s">
        <v>5</v>
      </c>
      <c r="B11" t="s">
        <v>1705</v>
      </c>
      <c r="C11" t="s">
        <v>1710</v>
      </c>
      <c r="D11" t="s">
        <v>1733</v>
      </c>
      <c r="E11" t="s">
        <v>1749</v>
      </c>
      <c r="F11" t="s">
        <v>1725</v>
      </c>
    </row>
    <row r="12" spans="1:6" x14ac:dyDescent="0.2">
      <c r="A12" s="5" t="s">
        <v>6</v>
      </c>
      <c r="B12" t="s">
        <v>1705</v>
      </c>
      <c r="C12" t="s">
        <v>1750</v>
      </c>
      <c r="D12" t="s">
        <v>1733</v>
      </c>
      <c r="E12" t="s">
        <v>1751</v>
      </c>
      <c r="F12" t="s">
        <v>1746</v>
      </c>
    </row>
    <row r="13" spans="1:6" x14ac:dyDescent="0.2">
      <c r="A13" s="5" t="s">
        <v>7</v>
      </c>
      <c r="B13" t="s">
        <v>1705</v>
      </c>
      <c r="C13" t="s">
        <v>1752</v>
      </c>
      <c r="D13" t="s">
        <v>1733</v>
      </c>
      <c r="E13" t="s">
        <v>1753</v>
      </c>
      <c r="F13" t="s">
        <v>1754</v>
      </c>
    </row>
    <row r="14" spans="1:6" x14ac:dyDescent="0.2">
      <c r="A14" s="5" t="s">
        <v>24</v>
      </c>
      <c r="B14" t="s">
        <v>1707</v>
      </c>
      <c r="C14" t="s">
        <v>1755</v>
      </c>
      <c r="D14" t="s">
        <v>1711</v>
      </c>
      <c r="E14" t="s">
        <v>1756</v>
      </c>
      <c r="F14" t="s">
        <v>1757</v>
      </c>
    </row>
    <row r="15" spans="1:6" x14ac:dyDescent="0.2">
      <c r="A15" s="5" t="s">
        <v>8</v>
      </c>
      <c r="B15" t="s">
        <v>1705</v>
      </c>
      <c r="C15" t="s">
        <v>1758</v>
      </c>
      <c r="D15" t="s">
        <v>1733</v>
      </c>
      <c r="E15" t="s">
        <v>1712</v>
      </c>
      <c r="F15" t="s">
        <v>1725</v>
      </c>
    </row>
    <row r="16" spans="1:6" x14ac:dyDescent="0.2">
      <c r="A16" s="5" t="s">
        <v>9</v>
      </c>
      <c r="B16" t="s">
        <v>1705</v>
      </c>
      <c r="C16" t="s">
        <v>1713</v>
      </c>
      <c r="D16" t="s">
        <v>1733</v>
      </c>
      <c r="E16" t="s">
        <v>1759</v>
      </c>
      <c r="F16" t="s">
        <v>1725</v>
      </c>
    </row>
    <row r="17" spans="1:6" x14ac:dyDescent="0.2">
      <c r="A17" s="5" t="s">
        <v>10</v>
      </c>
      <c r="B17" t="s">
        <v>1705</v>
      </c>
      <c r="C17" t="s">
        <v>1714</v>
      </c>
      <c r="D17" t="s">
        <v>1733</v>
      </c>
      <c r="E17" t="s">
        <v>1760</v>
      </c>
      <c r="F17" t="s">
        <v>1725</v>
      </c>
    </row>
    <row r="18" spans="1:6" x14ac:dyDescent="0.2">
      <c r="A18" s="5" t="s">
        <v>18</v>
      </c>
      <c r="B18" t="s">
        <v>1705</v>
      </c>
      <c r="C18" t="s">
        <v>1715</v>
      </c>
      <c r="D18" t="s">
        <v>1761</v>
      </c>
      <c r="E18" t="s">
        <v>1762</v>
      </c>
      <c r="F18" t="s">
        <v>1725</v>
      </c>
    </row>
    <row r="19" spans="1:6" x14ac:dyDescent="0.2">
      <c r="A19" s="5" t="s">
        <v>34</v>
      </c>
      <c r="B19" t="s">
        <v>1707</v>
      </c>
      <c r="C19" t="s">
        <v>1763</v>
      </c>
      <c r="D19" t="s">
        <v>1764</v>
      </c>
      <c r="E19" t="s">
        <v>1765</v>
      </c>
      <c r="F19" t="s">
        <v>1728</v>
      </c>
    </row>
    <row r="20" spans="1:6" x14ac:dyDescent="0.2">
      <c r="A20" s="5" t="s">
        <v>11</v>
      </c>
      <c r="B20" t="s">
        <v>1766</v>
      </c>
      <c r="C20" t="s">
        <v>1767</v>
      </c>
      <c r="D20" t="s">
        <v>1823</v>
      </c>
      <c r="E20" t="s">
        <v>1768</v>
      </c>
      <c r="F20" t="s">
        <v>1769</v>
      </c>
    </row>
    <row r="21" spans="1:6" ht="16" x14ac:dyDescent="0.25">
      <c r="A21" s="5" t="s">
        <v>1699</v>
      </c>
      <c r="B21" t="s">
        <v>1770</v>
      </c>
      <c r="C21" t="s">
        <v>1771</v>
      </c>
      <c r="D21" t="s">
        <v>1772</v>
      </c>
      <c r="E21" t="s">
        <v>1773</v>
      </c>
      <c r="F21" t="s">
        <v>1774</v>
      </c>
    </row>
    <row r="22" spans="1:6" x14ac:dyDescent="0.2">
      <c r="A22" s="5" t="s">
        <v>22</v>
      </c>
      <c r="B22" t="s">
        <v>1707</v>
      </c>
      <c r="C22" t="s">
        <v>1775</v>
      </c>
      <c r="D22" t="s">
        <v>1776</v>
      </c>
      <c r="E22" t="s">
        <v>1777</v>
      </c>
      <c r="F22" t="s">
        <v>1778</v>
      </c>
    </row>
    <row r="23" spans="1:6" x14ac:dyDescent="0.2">
      <c r="A23" s="5" t="s">
        <v>12</v>
      </c>
      <c r="B23" t="s">
        <v>1707</v>
      </c>
      <c r="C23" t="s">
        <v>1779</v>
      </c>
      <c r="D23" t="s">
        <v>1824</v>
      </c>
      <c r="E23" t="s">
        <v>1780</v>
      </c>
      <c r="F23" t="s">
        <v>1728</v>
      </c>
    </row>
    <row r="24" spans="1:6" x14ac:dyDescent="0.2">
      <c r="A24" s="5" t="s">
        <v>20</v>
      </c>
      <c r="B24" t="s">
        <v>1707</v>
      </c>
      <c r="C24" t="s">
        <v>1781</v>
      </c>
      <c r="D24" t="s">
        <v>1824</v>
      </c>
      <c r="E24" t="s">
        <v>1782</v>
      </c>
      <c r="F24" t="s">
        <v>1728</v>
      </c>
    </row>
    <row r="25" spans="1:6" ht="16" x14ac:dyDescent="0.25">
      <c r="A25" s="5" t="s">
        <v>21</v>
      </c>
      <c r="B25" t="s">
        <v>1770</v>
      </c>
      <c r="C25" t="s">
        <v>1783</v>
      </c>
      <c r="D25" t="s">
        <v>1784</v>
      </c>
      <c r="E25" t="s">
        <v>1785</v>
      </c>
      <c r="F25" t="s">
        <v>1774</v>
      </c>
    </row>
    <row r="26" spans="1:6" x14ac:dyDescent="0.2">
      <c r="A26" s="5" t="s">
        <v>13</v>
      </c>
      <c r="B26" t="s">
        <v>1707</v>
      </c>
      <c r="C26" t="s">
        <v>1786</v>
      </c>
      <c r="D26" t="s">
        <v>1824</v>
      </c>
      <c r="E26" t="s">
        <v>1787</v>
      </c>
      <c r="F26" t="s">
        <v>1728</v>
      </c>
    </row>
    <row r="27" spans="1:6" x14ac:dyDescent="0.2">
      <c r="A27" s="5" t="s">
        <v>14</v>
      </c>
      <c r="B27" t="s">
        <v>1707</v>
      </c>
      <c r="C27" t="s">
        <v>1788</v>
      </c>
      <c r="D27" t="s">
        <v>1824</v>
      </c>
      <c r="E27" t="s">
        <v>1789</v>
      </c>
      <c r="F27" t="s">
        <v>1728</v>
      </c>
    </row>
    <row r="28" spans="1:6" x14ac:dyDescent="0.2">
      <c r="A28" s="5" t="s">
        <v>19</v>
      </c>
      <c r="B28" t="s">
        <v>1707</v>
      </c>
      <c r="C28" t="s">
        <v>1790</v>
      </c>
      <c r="D28" t="s">
        <v>1824</v>
      </c>
      <c r="E28" t="s">
        <v>1791</v>
      </c>
      <c r="F28" t="s">
        <v>1728</v>
      </c>
    </row>
    <row r="29" spans="1:6" x14ac:dyDescent="0.2">
      <c r="A29" s="5" t="s">
        <v>1698</v>
      </c>
      <c r="B29" t="s">
        <v>1707</v>
      </c>
      <c r="C29" t="s">
        <v>1792</v>
      </c>
      <c r="D29" t="s">
        <v>1824</v>
      </c>
      <c r="E29" t="s">
        <v>1793</v>
      </c>
      <c r="F29" t="s">
        <v>1728</v>
      </c>
    </row>
    <row r="30" spans="1:6" ht="16" x14ac:dyDescent="0.25">
      <c r="A30" s="5" t="s">
        <v>23</v>
      </c>
      <c r="B30" t="s">
        <v>1705</v>
      </c>
      <c r="C30" t="s">
        <v>1794</v>
      </c>
      <c r="D30" t="s">
        <v>1795</v>
      </c>
      <c r="E30" t="s">
        <v>1796</v>
      </c>
      <c r="F30" t="s">
        <v>1725</v>
      </c>
    </row>
    <row r="31" spans="1:6" x14ac:dyDescent="0.2">
      <c r="A31" s="5" t="s">
        <v>27</v>
      </c>
      <c r="B31" t="s">
        <v>1770</v>
      </c>
      <c r="C31" t="s">
        <v>1797</v>
      </c>
      <c r="D31" t="s">
        <v>1798</v>
      </c>
      <c r="E31" t="s">
        <v>1799</v>
      </c>
      <c r="F31" t="s">
        <v>1774</v>
      </c>
    </row>
    <row r="32" spans="1:6" x14ac:dyDescent="0.2">
      <c r="A32" s="5" t="s">
        <v>28</v>
      </c>
      <c r="B32" t="s">
        <v>1770</v>
      </c>
      <c r="C32" t="s">
        <v>1800</v>
      </c>
      <c r="D32" t="s">
        <v>1798</v>
      </c>
      <c r="E32" t="s">
        <v>1801</v>
      </c>
      <c r="F32" t="s">
        <v>1774</v>
      </c>
    </row>
    <row r="33" spans="1:6" x14ac:dyDescent="0.2">
      <c r="A33" s="5" t="s">
        <v>29</v>
      </c>
      <c r="B33" t="s">
        <v>1770</v>
      </c>
      <c r="C33" t="s">
        <v>1802</v>
      </c>
      <c r="D33" t="s">
        <v>1798</v>
      </c>
      <c r="E33" t="s">
        <v>1801</v>
      </c>
      <c r="F33" t="s">
        <v>1803</v>
      </c>
    </row>
    <row r="34" spans="1:6" x14ac:dyDescent="0.2">
      <c r="A34" s="5" t="s">
        <v>30</v>
      </c>
      <c r="B34" t="s">
        <v>1770</v>
      </c>
      <c r="C34" t="s">
        <v>1804</v>
      </c>
      <c r="D34" t="s">
        <v>1798</v>
      </c>
      <c r="E34" t="s">
        <v>1801</v>
      </c>
      <c r="F34" t="s">
        <v>1803</v>
      </c>
    </row>
    <row r="35" spans="1:6" x14ac:dyDescent="0.2">
      <c r="A35" s="5" t="s">
        <v>31</v>
      </c>
      <c r="B35" t="s">
        <v>1770</v>
      </c>
      <c r="C35" t="s">
        <v>1805</v>
      </c>
      <c r="D35" t="s">
        <v>1798</v>
      </c>
      <c r="E35" t="s">
        <v>1801</v>
      </c>
      <c r="F35" t="s">
        <v>1803</v>
      </c>
    </row>
    <row r="36" spans="1:6" x14ac:dyDescent="0.2">
      <c r="A36" s="5" t="s">
        <v>32</v>
      </c>
      <c r="B36" t="s">
        <v>1770</v>
      </c>
      <c r="C36" t="s">
        <v>1806</v>
      </c>
      <c r="D36" t="s">
        <v>1798</v>
      </c>
      <c r="E36" t="s">
        <v>1801</v>
      </c>
      <c r="F36" t="s">
        <v>1803</v>
      </c>
    </row>
    <row r="37" spans="1:6" x14ac:dyDescent="0.2">
      <c r="A37" s="5" t="s">
        <v>0</v>
      </c>
      <c r="B37" t="s">
        <v>1707</v>
      </c>
      <c r="C37" t="s">
        <v>1807</v>
      </c>
      <c r="D37" t="s">
        <v>1808</v>
      </c>
      <c r="E37" t="s">
        <v>1809</v>
      </c>
      <c r="F37" t="s">
        <v>1728</v>
      </c>
    </row>
    <row r="38" spans="1:6" x14ac:dyDescent="0.2">
      <c r="A38" s="5" t="s">
        <v>15</v>
      </c>
      <c r="B38" t="s">
        <v>1707</v>
      </c>
      <c r="C38" t="s">
        <v>1810</v>
      </c>
      <c r="D38" t="s">
        <v>1811</v>
      </c>
      <c r="E38" t="s">
        <v>1812</v>
      </c>
      <c r="F38" t="s">
        <v>1728</v>
      </c>
    </row>
    <row r="39" spans="1:6" x14ac:dyDescent="0.2">
      <c r="A39" s="5" t="s">
        <v>16</v>
      </c>
      <c r="B39" t="s">
        <v>1707</v>
      </c>
      <c r="C39" t="s">
        <v>1813</v>
      </c>
      <c r="D39" t="s">
        <v>1814</v>
      </c>
      <c r="E39" t="s">
        <v>1815</v>
      </c>
      <c r="F39" t="s">
        <v>1728</v>
      </c>
    </row>
    <row r="40" spans="1:6" ht="16" x14ac:dyDescent="0.25">
      <c r="A40" s="5" t="s">
        <v>1721</v>
      </c>
      <c r="B40" t="s">
        <v>1707</v>
      </c>
      <c r="C40" t="s">
        <v>1816</v>
      </c>
      <c r="D40" t="s">
        <v>1817</v>
      </c>
      <c r="E40" t="s">
        <v>1818</v>
      </c>
      <c r="F40" t="s">
        <v>1728</v>
      </c>
    </row>
    <row r="41" spans="1:6" x14ac:dyDescent="0.2">
      <c r="A41" s="5" t="s">
        <v>1720</v>
      </c>
      <c r="B41" t="s">
        <v>1705</v>
      </c>
      <c r="C41" t="s">
        <v>1819</v>
      </c>
      <c r="D41" t="s">
        <v>1820</v>
      </c>
      <c r="E41" t="s">
        <v>1821</v>
      </c>
      <c r="F41" t="s">
        <v>1725</v>
      </c>
    </row>
    <row r="46" spans="1:6" ht="16" x14ac:dyDescent="0.25">
      <c r="A46" t="s">
        <v>1825</v>
      </c>
    </row>
    <row r="48" spans="1:6" ht="16" x14ac:dyDescent="0.25">
      <c r="A48" t="s">
        <v>1826</v>
      </c>
    </row>
    <row r="50" spans="1:1" x14ac:dyDescent="0.2">
      <c r="A50" t="s">
        <v>1827</v>
      </c>
    </row>
    <row r="52" spans="1:1" x14ac:dyDescent="0.2">
      <c r="A52" t="s">
        <v>1828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base_limpa</vt:lpstr>
      <vt:lpstr>dicionario_de_variaveis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Ribeiro Dos Anjos</cp:lastModifiedBy>
  <dcterms:created xsi:type="dcterms:W3CDTF">2025-11-09T15:26:10Z</dcterms:created>
  <dcterms:modified xsi:type="dcterms:W3CDTF">2025-11-11T14:26:42Z</dcterms:modified>
</cp:coreProperties>
</file>